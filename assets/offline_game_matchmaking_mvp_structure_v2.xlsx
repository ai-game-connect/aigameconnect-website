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GameConnect\website\assets\"/>
    </mc:Choice>
  </mc:AlternateContent>
  <bookViews>
    <workbookView xWindow="0" yWindow="0" windowWidth="20490" windowHeight="7635" firstSheet="19" activeTab="22"/>
  </bookViews>
  <sheets>
    <sheet name="MVP Instructions" sheetId="1" r:id="rId1"/>
    <sheet name="Dashboard" sheetId="2" r:id="rId2"/>
    <sheet name="Games Catalog" sheetId="3" r:id="rId3"/>
    <sheet name="Lookup Lists" sheetId="4" r:id="rId4"/>
    <sheet name="Players" sheetId="5" r:id="rId5"/>
    <sheet name="Game Requests" sheetId="6" r:id="rId6"/>
    <sheet name="Venues" sheetId="7" r:id="rId7"/>
    <sheet name="Match Sessions" sheetId="8" r:id="rId8"/>
    <sheet name="Confirmations" sheetId="9" r:id="rId9"/>
    <sheet name="Scores" sheetId="10" r:id="rId10"/>
    <sheet name="Ratings" sheetId="11" r:id="rId11"/>
    <sheet name="Promotions" sheetId="12" r:id="rId12"/>
    <sheet name="Competitions" sheetId="13" r:id="rId13"/>
    <sheet name="Scoring Rules" sheetId="14" r:id="rId14"/>
    <sheet name="Credibility Log" sheetId="15" r:id="rId15"/>
    <sheet name="Player Rankings" sheetId="16" r:id="rId16"/>
    <sheet name="Estimation Calculator" sheetId="17" r:id="rId17"/>
    <sheet name="Leaderboards" sheetId="18" r:id="rId18"/>
    <sheet name="Venue Performance" sheetId="19" r:id="rId19"/>
    <sheet name="Reports &amp; Incidents" sheetId="20" r:id="rId20"/>
    <sheet name="Verification Levels" sheetId="21" r:id="rId21"/>
    <sheet name="Match Captains" sheetId="22" r:id="rId22"/>
    <sheet name="Make Blueprint" sheetId="23" r:id="rId23"/>
    <sheet name="Operations Flow" sheetId="24" r:id="rId24"/>
  </sheets>
  <calcPr calcId="152511"/>
</workbook>
</file>

<file path=xl/calcChain.xml><?xml version="1.0" encoding="utf-8"?>
<calcChain xmlns="http://schemas.openxmlformats.org/spreadsheetml/2006/main">
  <c r="K200" i="18" l="1"/>
  <c r="K199" i="18"/>
  <c r="K198" i="18"/>
  <c r="K197" i="18"/>
  <c r="K196" i="18"/>
  <c r="K195" i="18"/>
  <c r="K194" i="18"/>
  <c r="K193" i="18"/>
  <c r="K192" i="18"/>
  <c r="K191" i="18"/>
  <c r="K190" i="18"/>
  <c r="K189" i="18"/>
  <c r="K188" i="18"/>
  <c r="K187" i="18"/>
  <c r="K186" i="18"/>
  <c r="K185" i="18"/>
  <c r="K184" i="18"/>
  <c r="K183" i="18"/>
  <c r="K182" i="18"/>
  <c r="K181" i="18"/>
  <c r="K180" i="18"/>
  <c r="K179" i="18"/>
  <c r="K178" i="18"/>
  <c r="K177" i="18"/>
  <c r="K176" i="18"/>
  <c r="K175" i="18"/>
  <c r="K174" i="18"/>
  <c r="K173" i="18"/>
  <c r="K172" i="18"/>
  <c r="K171" i="18"/>
  <c r="K170" i="18"/>
  <c r="K169" i="18"/>
  <c r="K168" i="18"/>
  <c r="K167" i="18"/>
  <c r="K166" i="18"/>
  <c r="K165" i="18"/>
  <c r="K164" i="18"/>
  <c r="K163" i="18"/>
  <c r="K162" i="18"/>
  <c r="K161" i="18"/>
  <c r="K160" i="18"/>
  <c r="K159" i="18"/>
  <c r="K158" i="18"/>
  <c r="K157" i="18"/>
  <c r="K156" i="18"/>
  <c r="K155" i="18"/>
  <c r="K154" i="18"/>
  <c r="K153" i="18"/>
  <c r="K152" i="18"/>
  <c r="K151" i="18"/>
  <c r="K150" i="18"/>
  <c r="K149" i="18"/>
  <c r="K148" i="18"/>
  <c r="K147" i="18"/>
  <c r="K146" i="18"/>
  <c r="K145" i="18"/>
  <c r="K144" i="18"/>
  <c r="K143" i="18"/>
  <c r="K142" i="18"/>
  <c r="K141" i="18"/>
  <c r="K140" i="18"/>
  <c r="K139" i="18"/>
  <c r="K138" i="18"/>
  <c r="K137" i="18"/>
  <c r="K136" i="18"/>
  <c r="K135" i="18"/>
  <c r="K134" i="18"/>
  <c r="K133" i="18"/>
  <c r="K132" i="18"/>
  <c r="K131" i="18"/>
  <c r="K130" i="18"/>
  <c r="K129" i="18"/>
  <c r="K128" i="18"/>
  <c r="K127" i="18"/>
  <c r="K126" i="18"/>
  <c r="K125" i="18"/>
  <c r="K124" i="18"/>
  <c r="K123" i="18"/>
  <c r="K122" i="18"/>
  <c r="K121" i="18"/>
  <c r="K120" i="18"/>
  <c r="K119" i="18"/>
  <c r="K118" i="18"/>
  <c r="K117" i="18"/>
  <c r="K116" i="18"/>
  <c r="K115" i="18"/>
  <c r="K114" i="18"/>
  <c r="K113" i="18"/>
  <c r="K112" i="18"/>
  <c r="K111" i="18"/>
  <c r="K110" i="18"/>
  <c r="K109" i="18"/>
  <c r="K108" i="18"/>
  <c r="K107" i="18"/>
  <c r="K106" i="18"/>
  <c r="K105" i="18"/>
  <c r="K104" i="18"/>
  <c r="K103" i="18"/>
  <c r="K102" i="18"/>
  <c r="K101" i="18"/>
  <c r="K100" i="18"/>
  <c r="K99" i="18"/>
  <c r="K98" i="18"/>
  <c r="K97" i="18"/>
  <c r="K96" i="18"/>
  <c r="K95" i="18"/>
  <c r="K94" i="18"/>
  <c r="K93" i="18"/>
  <c r="K92" i="18"/>
  <c r="K91" i="18"/>
  <c r="K90" i="18"/>
  <c r="K89" i="18"/>
  <c r="K88" i="18"/>
  <c r="K87" i="18"/>
  <c r="K86" i="18"/>
  <c r="K85" i="18"/>
  <c r="K84" i="18"/>
  <c r="K83" i="18"/>
  <c r="K82" i="18"/>
  <c r="K81" i="18"/>
  <c r="K80" i="18"/>
  <c r="K79" i="18"/>
  <c r="K78" i="18"/>
  <c r="K77" i="18"/>
  <c r="K76" i="18"/>
  <c r="K75" i="18"/>
  <c r="K74" i="18"/>
  <c r="K73" i="18"/>
  <c r="K72" i="18"/>
  <c r="K71" i="18"/>
  <c r="K70" i="18"/>
  <c r="K69" i="18"/>
  <c r="K68" i="18"/>
  <c r="K67" i="18"/>
  <c r="K66" i="18"/>
  <c r="K65" i="18"/>
  <c r="K64" i="18"/>
  <c r="K63" i="18"/>
  <c r="K62" i="18"/>
  <c r="K61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11" i="18"/>
  <c r="K10" i="18"/>
  <c r="K9" i="18"/>
  <c r="K8" i="18"/>
  <c r="K7" i="18"/>
  <c r="K6" i="18"/>
  <c r="K5" i="18"/>
  <c r="K200" i="17"/>
  <c r="J200" i="17"/>
  <c r="I200" i="17"/>
  <c r="H200" i="17"/>
  <c r="G200" i="17"/>
  <c r="K199" i="17"/>
  <c r="J199" i="17"/>
  <c r="I199" i="17"/>
  <c r="H199" i="17"/>
  <c r="G199" i="17"/>
  <c r="K198" i="17"/>
  <c r="J198" i="17"/>
  <c r="I198" i="17"/>
  <c r="H198" i="17"/>
  <c r="G198" i="17"/>
  <c r="K197" i="17"/>
  <c r="J197" i="17"/>
  <c r="I197" i="17"/>
  <c r="H197" i="17"/>
  <c r="G197" i="17"/>
  <c r="K196" i="17"/>
  <c r="J196" i="17"/>
  <c r="I196" i="17"/>
  <c r="H196" i="17"/>
  <c r="G196" i="17"/>
  <c r="K195" i="17"/>
  <c r="J195" i="17"/>
  <c r="I195" i="17"/>
  <c r="H195" i="17"/>
  <c r="G195" i="17"/>
  <c r="K194" i="17"/>
  <c r="J194" i="17"/>
  <c r="I194" i="17"/>
  <c r="H194" i="17"/>
  <c r="G194" i="17"/>
  <c r="K193" i="17"/>
  <c r="J193" i="17"/>
  <c r="I193" i="17"/>
  <c r="H193" i="17"/>
  <c r="G193" i="17"/>
  <c r="K192" i="17"/>
  <c r="J192" i="17"/>
  <c r="I192" i="17"/>
  <c r="H192" i="17"/>
  <c r="G192" i="17"/>
  <c r="K191" i="17"/>
  <c r="J191" i="17"/>
  <c r="I191" i="17"/>
  <c r="H191" i="17"/>
  <c r="G191" i="17"/>
  <c r="K190" i="17"/>
  <c r="J190" i="17"/>
  <c r="I190" i="17"/>
  <c r="H190" i="17"/>
  <c r="G190" i="17"/>
  <c r="K189" i="17"/>
  <c r="J189" i="17"/>
  <c r="I189" i="17"/>
  <c r="H189" i="17"/>
  <c r="G189" i="17"/>
  <c r="K188" i="17"/>
  <c r="J188" i="17"/>
  <c r="I188" i="17"/>
  <c r="H188" i="17"/>
  <c r="G188" i="17"/>
  <c r="K187" i="17"/>
  <c r="J187" i="17"/>
  <c r="I187" i="17"/>
  <c r="H187" i="17"/>
  <c r="G187" i="17"/>
  <c r="K186" i="17"/>
  <c r="J186" i="17"/>
  <c r="I186" i="17"/>
  <c r="H186" i="17"/>
  <c r="G186" i="17"/>
  <c r="K185" i="17"/>
  <c r="J185" i="17"/>
  <c r="I185" i="17"/>
  <c r="H185" i="17"/>
  <c r="G185" i="17"/>
  <c r="K184" i="17"/>
  <c r="J184" i="17"/>
  <c r="I184" i="17"/>
  <c r="H184" i="17"/>
  <c r="G184" i="17"/>
  <c r="K183" i="17"/>
  <c r="J183" i="17"/>
  <c r="I183" i="17"/>
  <c r="H183" i="17"/>
  <c r="G183" i="17"/>
  <c r="K182" i="17"/>
  <c r="J182" i="17"/>
  <c r="I182" i="17"/>
  <c r="H182" i="17"/>
  <c r="G182" i="17"/>
  <c r="K181" i="17"/>
  <c r="J181" i="17"/>
  <c r="I181" i="17"/>
  <c r="H181" i="17"/>
  <c r="G181" i="17"/>
  <c r="K180" i="17"/>
  <c r="J180" i="17"/>
  <c r="I180" i="17"/>
  <c r="H180" i="17"/>
  <c r="G180" i="17"/>
  <c r="K179" i="17"/>
  <c r="J179" i="17"/>
  <c r="I179" i="17"/>
  <c r="H179" i="17"/>
  <c r="G179" i="17"/>
  <c r="K178" i="17"/>
  <c r="J178" i="17"/>
  <c r="I178" i="17"/>
  <c r="H178" i="17"/>
  <c r="G178" i="17"/>
  <c r="K177" i="17"/>
  <c r="J177" i="17"/>
  <c r="I177" i="17"/>
  <c r="H177" i="17"/>
  <c r="G177" i="17"/>
  <c r="K176" i="17"/>
  <c r="J176" i="17"/>
  <c r="I176" i="17"/>
  <c r="H176" i="17"/>
  <c r="G176" i="17"/>
  <c r="K175" i="17"/>
  <c r="J175" i="17"/>
  <c r="I175" i="17"/>
  <c r="H175" i="17"/>
  <c r="G175" i="17"/>
  <c r="K174" i="17"/>
  <c r="J174" i="17"/>
  <c r="I174" i="17"/>
  <c r="H174" i="17"/>
  <c r="G174" i="17"/>
  <c r="K173" i="17"/>
  <c r="J173" i="17"/>
  <c r="I173" i="17"/>
  <c r="H173" i="17"/>
  <c r="G173" i="17"/>
  <c r="K172" i="17"/>
  <c r="J172" i="17"/>
  <c r="I172" i="17"/>
  <c r="H172" i="17"/>
  <c r="G172" i="17"/>
  <c r="K171" i="17"/>
  <c r="J171" i="17"/>
  <c r="I171" i="17"/>
  <c r="H171" i="17"/>
  <c r="G171" i="17"/>
  <c r="K170" i="17"/>
  <c r="J170" i="17"/>
  <c r="I170" i="17"/>
  <c r="H170" i="17"/>
  <c r="G170" i="17"/>
  <c r="K169" i="17"/>
  <c r="J169" i="17"/>
  <c r="I169" i="17"/>
  <c r="H169" i="17"/>
  <c r="G169" i="17"/>
  <c r="K168" i="17"/>
  <c r="J168" i="17"/>
  <c r="I168" i="17"/>
  <c r="H168" i="17"/>
  <c r="G168" i="17"/>
  <c r="K167" i="17"/>
  <c r="J167" i="17"/>
  <c r="I167" i="17"/>
  <c r="H167" i="17"/>
  <c r="G167" i="17"/>
  <c r="K166" i="17"/>
  <c r="J166" i="17"/>
  <c r="I166" i="17"/>
  <c r="H166" i="17"/>
  <c r="G166" i="17"/>
  <c r="K165" i="17"/>
  <c r="J165" i="17"/>
  <c r="I165" i="17"/>
  <c r="H165" i="17"/>
  <c r="G165" i="17"/>
  <c r="K164" i="17"/>
  <c r="J164" i="17"/>
  <c r="I164" i="17"/>
  <c r="H164" i="17"/>
  <c r="G164" i="17"/>
  <c r="K163" i="17"/>
  <c r="J163" i="17"/>
  <c r="I163" i="17"/>
  <c r="H163" i="17"/>
  <c r="G163" i="17"/>
  <c r="K162" i="17"/>
  <c r="J162" i="17"/>
  <c r="I162" i="17"/>
  <c r="H162" i="17"/>
  <c r="G162" i="17"/>
  <c r="K161" i="17"/>
  <c r="J161" i="17"/>
  <c r="I161" i="17"/>
  <c r="H161" i="17"/>
  <c r="G161" i="17"/>
  <c r="K160" i="17"/>
  <c r="J160" i="17"/>
  <c r="I160" i="17"/>
  <c r="H160" i="17"/>
  <c r="G160" i="17"/>
  <c r="K159" i="17"/>
  <c r="J159" i="17"/>
  <c r="I159" i="17"/>
  <c r="H159" i="17"/>
  <c r="G159" i="17"/>
  <c r="K158" i="17"/>
  <c r="J158" i="17"/>
  <c r="I158" i="17"/>
  <c r="H158" i="17"/>
  <c r="G158" i="17"/>
  <c r="K157" i="17"/>
  <c r="J157" i="17"/>
  <c r="I157" i="17"/>
  <c r="H157" i="17"/>
  <c r="G157" i="17"/>
  <c r="K156" i="17"/>
  <c r="J156" i="17"/>
  <c r="I156" i="17"/>
  <c r="H156" i="17"/>
  <c r="G156" i="17"/>
  <c r="K155" i="17"/>
  <c r="J155" i="17"/>
  <c r="I155" i="17"/>
  <c r="H155" i="17"/>
  <c r="G155" i="17"/>
  <c r="K154" i="17"/>
  <c r="J154" i="17"/>
  <c r="I154" i="17"/>
  <c r="H154" i="17"/>
  <c r="G154" i="17"/>
  <c r="K153" i="17"/>
  <c r="J153" i="17"/>
  <c r="I153" i="17"/>
  <c r="H153" i="17"/>
  <c r="G153" i="17"/>
  <c r="K152" i="17"/>
  <c r="J152" i="17"/>
  <c r="I152" i="17"/>
  <c r="H152" i="17"/>
  <c r="G152" i="17"/>
  <c r="K151" i="17"/>
  <c r="J151" i="17"/>
  <c r="I151" i="17"/>
  <c r="H151" i="17"/>
  <c r="G151" i="17"/>
  <c r="K150" i="17"/>
  <c r="J150" i="17"/>
  <c r="I150" i="17"/>
  <c r="H150" i="17"/>
  <c r="G150" i="17"/>
  <c r="K149" i="17"/>
  <c r="J149" i="17"/>
  <c r="I149" i="17"/>
  <c r="H149" i="17"/>
  <c r="G149" i="17"/>
  <c r="K148" i="17"/>
  <c r="J148" i="17"/>
  <c r="I148" i="17"/>
  <c r="H148" i="17"/>
  <c r="G148" i="17"/>
  <c r="K147" i="17"/>
  <c r="J147" i="17"/>
  <c r="I147" i="17"/>
  <c r="H147" i="17"/>
  <c r="G147" i="17"/>
  <c r="K146" i="17"/>
  <c r="J146" i="17"/>
  <c r="I146" i="17"/>
  <c r="H146" i="17"/>
  <c r="G146" i="17"/>
  <c r="K145" i="17"/>
  <c r="J145" i="17"/>
  <c r="I145" i="17"/>
  <c r="H145" i="17"/>
  <c r="G145" i="17"/>
  <c r="K144" i="17"/>
  <c r="J144" i="17"/>
  <c r="I144" i="17"/>
  <c r="H144" i="17"/>
  <c r="G144" i="17"/>
  <c r="K143" i="17"/>
  <c r="J143" i="17"/>
  <c r="I143" i="17"/>
  <c r="H143" i="17"/>
  <c r="G143" i="17"/>
  <c r="K142" i="17"/>
  <c r="J142" i="17"/>
  <c r="I142" i="17"/>
  <c r="H142" i="17"/>
  <c r="G142" i="17"/>
  <c r="K141" i="17"/>
  <c r="J141" i="17"/>
  <c r="I141" i="17"/>
  <c r="H141" i="17"/>
  <c r="G141" i="17"/>
  <c r="K140" i="17"/>
  <c r="J140" i="17"/>
  <c r="I140" i="17"/>
  <c r="H140" i="17"/>
  <c r="G140" i="17"/>
  <c r="K139" i="17"/>
  <c r="J139" i="17"/>
  <c r="I139" i="17"/>
  <c r="H139" i="17"/>
  <c r="G139" i="17"/>
  <c r="K138" i="17"/>
  <c r="J138" i="17"/>
  <c r="I138" i="17"/>
  <c r="H138" i="17"/>
  <c r="G138" i="17"/>
  <c r="K137" i="17"/>
  <c r="J137" i="17"/>
  <c r="I137" i="17"/>
  <c r="H137" i="17"/>
  <c r="G137" i="17"/>
  <c r="K136" i="17"/>
  <c r="J136" i="17"/>
  <c r="I136" i="17"/>
  <c r="H136" i="17"/>
  <c r="G136" i="17"/>
  <c r="K135" i="17"/>
  <c r="J135" i="17"/>
  <c r="I135" i="17"/>
  <c r="H135" i="17"/>
  <c r="G135" i="17"/>
  <c r="K134" i="17"/>
  <c r="J134" i="17"/>
  <c r="I134" i="17"/>
  <c r="H134" i="17"/>
  <c r="G134" i="17"/>
  <c r="K133" i="17"/>
  <c r="J133" i="17"/>
  <c r="I133" i="17"/>
  <c r="H133" i="17"/>
  <c r="G133" i="17"/>
  <c r="K132" i="17"/>
  <c r="J132" i="17"/>
  <c r="I132" i="17"/>
  <c r="H132" i="17"/>
  <c r="G132" i="17"/>
  <c r="K131" i="17"/>
  <c r="J131" i="17"/>
  <c r="I131" i="17"/>
  <c r="H131" i="17"/>
  <c r="G131" i="17"/>
  <c r="K130" i="17"/>
  <c r="J130" i="17"/>
  <c r="I130" i="17"/>
  <c r="H130" i="17"/>
  <c r="G130" i="17"/>
  <c r="K129" i="17"/>
  <c r="J129" i="17"/>
  <c r="I129" i="17"/>
  <c r="H129" i="17"/>
  <c r="G129" i="17"/>
  <c r="K128" i="17"/>
  <c r="J128" i="17"/>
  <c r="I128" i="17"/>
  <c r="H128" i="17"/>
  <c r="G128" i="17"/>
  <c r="K127" i="17"/>
  <c r="J127" i="17"/>
  <c r="I127" i="17"/>
  <c r="H127" i="17"/>
  <c r="G127" i="17"/>
  <c r="K126" i="17"/>
  <c r="J126" i="17"/>
  <c r="I126" i="17"/>
  <c r="H126" i="17"/>
  <c r="G126" i="17"/>
  <c r="K125" i="17"/>
  <c r="J125" i="17"/>
  <c r="I125" i="17"/>
  <c r="H125" i="17"/>
  <c r="G125" i="17"/>
  <c r="K124" i="17"/>
  <c r="J124" i="17"/>
  <c r="I124" i="17"/>
  <c r="H124" i="17"/>
  <c r="G124" i="17"/>
  <c r="K123" i="17"/>
  <c r="J123" i="17"/>
  <c r="I123" i="17"/>
  <c r="H123" i="17"/>
  <c r="G123" i="17"/>
  <c r="K122" i="17"/>
  <c r="J122" i="17"/>
  <c r="I122" i="17"/>
  <c r="H122" i="17"/>
  <c r="G122" i="17"/>
  <c r="K121" i="17"/>
  <c r="J121" i="17"/>
  <c r="I121" i="17"/>
  <c r="H121" i="17"/>
  <c r="G121" i="17"/>
  <c r="K120" i="17"/>
  <c r="J120" i="17"/>
  <c r="I120" i="17"/>
  <c r="H120" i="17"/>
  <c r="G120" i="17"/>
  <c r="K119" i="17"/>
  <c r="J119" i="17"/>
  <c r="I119" i="17"/>
  <c r="H119" i="17"/>
  <c r="G119" i="17"/>
  <c r="K118" i="17"/>
  <c r="J118" i="17"/>
  <c r="I118" i="17"/>
  <c r="H118" i="17"/>
  <c r="G118" i="17"/>
  <c r="K117" i="17"/>
  <c r="J117" i="17"/>
  <c r="I117" i="17"/>
  <c r="H117" i="17"/>
  <c r="G117" i="17"/>
  <c r="K116" i="17"/>
  <c r="J116" i="17"/>
  <c r="I116" i="17"/>
  <c r="H116" i="17"/>
  <c r="G116" i="17"/>
  <c r="K115" i="17"/>
  <c r="J115" i="17"/>
  <c r="I115" i="17"/>
  <c r="H115" i="17"/>
  <c r="G115" i="17"/>
  <c r="K114" i="17"/>
  <c r="J114" i="17"/>
  <c r="I114" i="17"/>
  <c r="H114" i="17"/>
  <c r="G114" i="17"/>
  <c r="K113" i="17"/>
  <c r="J113" i="17"/>
  <c r="I113" i="17"/>
  <c r="H113" i="17"/>
  <c r="G113" i="17"/>
  <c r="K112" i="17"/>
  <c r="J112" i="17"/>
  <c r="I112" i="17"/>
  <c r="H112" i="17"/>
  <c r="G112" i="17"/>
  <c r="K111" i="17"/>
  <c r="J111" i="17"/>
  <c r="I111" i="17"/>
  <c r="H111" i="17"/>
  <c r="G111" i="17"/>
  <c r="K110" i="17"/>
  <c r="J110" i="17"/>
  <c r="I110" i="17"/>
  <c r="H110" i="17"/>
  <c r="G110" i="17"/>
  <c r="K109" i="17"/>
  <c r="J109" i="17"/>
  <c r="I109" i="17"/>
  <c r="H109" i="17"/>
  <c r="G109" i="17"/>
  <c r="K108" i="17"/>
  <c r="J108" i="17"/>
  <c r="I108" i="17"/>
  <c r="H108" i="17"/>
  <c r="G108" i="17"/>
  <c r="K107" i="17"/>
  <c r="J107" i="17"/>
  <c r="I107" i="17"/>
  <c r="H107" i="17"/>
  <c r="G107" i="17"/>
  <c r="K106" i="17"/>
  <c r="J106" i="17"/>
  <c r="I106" i="17"/>
  <c r="H106" i="17"/>
  <c r="G106" i="17"/>
  <c r="K105" i="17"/>
  <c r="J105" i="17"/>
  <c r="I105" i="17"/>
  <c r="H105" i="17"/>
  <c r="G105" i="17"/>
  <c r="K104" i="17"/>
  <c r="J104" i="17"/>
  <c r="I104" i="17"/>
  <c r="H104" i="17"/>
  <c r="G104" i="17"/>
  <c r="K103" i="17"/>
  <c r="J103" i="17"/>
  <c r="I103" i="17"/>
  <c r="H103" i="17"/>
  <c r="G103" i="17"/>
  <c r="K102" i="17"/>
  <c r="J102" i="17"/>
  <c r="I102" i="17"/>
  <c r="H102" i="17"/>
  <c r="G102" i="17"/>
  <c r="K101" i="17"/>
  <c r="J101" i="17"/>
  <c r="I101" i="17"/>
  <c r="H101" i="17"/>
  <c r="G101" i="17"/>
  <c r="K100" i="17"/>
  <c r="J100" i="17"/>
  <c r="I100" i="17"/>
  <c r="H100" i="17"/>
  <c r="G100" i="17"/>
  <c r="K99" i="17"/>
  <c r="J99" i="17"/>
  <c r="I99" i="17"/>
  <c r="H99" i="17"/>
  <c r="G99" i="17"/>
  <c r="K98" i="17"/>
  <c r="J98" i="17"/>
  <c r="I98" i="17"/>
  <c r="H98" i="17"/>
  <c r="G98" i="17"/>
  <c r="K97" i="17"/>
  <c r="J97" i="17"/>
  <c r="I97" i="17"/>
  <c r="H97" i="17"/>
  <c r="G97" i="17"/>
  <c r="K96" i="17"/>
  <c r="J96" i="17"/>
  <c r="I96" i="17"/>
  <c r="H96" i="17"/>
  <c r="G96" i="17"/>
  <c r="K95" i="17"/>
  <c r="J95" i="17"/>
  <c r="I95" i="17"/>
  <c r="H95" i="17"/>
  <c r="G95" i="17"/>
  <c r="K94" i="17"/>
  <c r="J94" i="17"/>
  <c r="I94" i="17"/>
  <c r="H94" i="17"/>
  <c r="G94" i="17"/>
  <c r="K93" i="17"/>
  <c r="J93" i="17"/>
  <c r="I93" i="17"/>
  <c r="H93" i="17"/>
  <c r="G93" i="17"/>
  <c r="K92" i="17"/>
  <c r="J92" i="17"/>
  <c r="I92" i="17"/>
  <c r="H92" i="17"/>
  <c r="G92" i="17"/>
  <c r="K91" i="17"/>
  <c r="J91" i="17"/>
  <c r="I91" i="17"/>
  <c r="H91" i="17"/>
  <c r="G91" i="17"/>
  <c r="K90" i="17"/>
  <c r="J90" i="17"/>
  <c r="I90" i="17"/>
  <c r="H90" i="17"/>
  <c r="G90" i="17"/>
  <c r="K89" i="17"/>
  <c r="J89" i="17"/>
  <c r="I89" i="17"/>
  <c r="H89" i="17"/>
  <c r="G89" i="17"/>
  <c r="K88" i="17"/>
  <c r="J88" i="17"/>
  <c r="I88" i="17"/>
  <c r="H88" i="17"/>
  <c r="G88" i="17"/>
  <c r="K87" i="17"/>
  <c r="J87" i="17"/>
  <c r="I87" i="17"/>
  <c r="H87" i="17"/>
  <c r="G87" i="17"/>
  <c r="K86" i="17"/>
  <c r="J86" i="17"/>
  <c r="I86" i="17"/>
  <c r="H86" i="17"/>
  <c r="G86" i="17"/>
  <c r="K85" i="17"/>
  <c r="J85" i="17"/>
  <c r="I85" i="17"/>
  <c r="H85" i="17"/>
  <c r="G85" i="17"/>
  <c r="K84" i="17"/>
  <c r="J84" i="17"/>
  <c r="I84" i="17"/>
  <c r="H84" i="17"/>
  <c r="G84" i="17"/>
  <c r="K83" i="17"/>
  <c r="J83" i="17"/>
  <c r="I83" i="17"/>
  <c r="H83" i="17"/>
  <c r="G83" i="17"/>
  <c r="K82" i="17"/>
  <c r="J82" i="17"/>
  <c r="I82" i="17"/>
  <c r="H82" i="17"/>
  <c r="G82" i="17"/>
  <c r="K81" i="17"/>
  <c r="J81" i="17"/>
  <c r="I81" i="17"/>
  <c r="H81" i="17"/>
  <c r="G81" i="17"/>
  <c r="K80" i="17"/>
  <c r="J80" i="17"/>
  <c r="I80" i="17"/>
  <c r="H80" i="17"/>
  <c r="G80" i="17"/>
  <c r="K79" i="17"/>
  <c r="J79" i="17"/>
  <c r="I79" i="17"/>
  <c r="H79" i="17"/>
  <c r="G79" i="17"/>
  <c r="K78" i="17"/>
  <c r="J78" i="17"/>
  <c r="I78" i="17"/>
  <c r="H78" i="17"/>
  <c r="G78" i="17"/>
  <c r="K77" i="17"/>
  <c r="J77" i="17"/>
  <c r="I77" i="17"/>
  <c r="H77" i="17"/>
  <c r="G77" i="17"/>
  <c r="K76" i="17"/>
  <c r="J76" i="17"/>
  <c r="I76" i="17"/>
  <c r="H76" i="17"/>
  <c r="G76" i="17"/>
  <c r="K75" i="17"/>
  <c r="J75" i="17"/>
  <c r="I75" i="17"/>
  <c r="H75" i="17"/>
  <c r="G75" i="17"/>
  <c r="K74" i="17"/>
  <c r="J74" i="17"/>
  <c r="I74" i="17"/>
  <c r="H74" i="17"/>
  <c r="G74" i="17"/>
  <c r="K73" i="17"/>
  <c r="J73" i="17"/>
  <c r="I73" i="17"/>
  <c r="H73" i="17"/>
  <c r="G73" i="17"/>
  <c r="K72" i="17"/>
  <c r="J72" i="17"/>
  <c r="I72" i="17"/>
  <c r="H72" i="17"/>
  <c r="G72" i="17"/>
  <c r="K71" i="17"/>
  <c r="J71" i="17"/>
  <c r="I71" i="17"/>
  <c r="H71" i="17"/>
  <c r="G71" i="17"/>
  <c r="K70" i="17"/>
  <c r="J70" i="17"/>
  <c r="I70" i="17"/>
  <c r="H70" i="17"/>
  <c r="G70" i="17"/>
  <c r="K69" i="17"/>
  <c r="J69" i="17"/>
  <c r="I69" i="17"/>
  <c r="H69" i="17"/>
  <c r="G69" i="17"/>
  <c r="K68" i="17"/>
  <c r="J68" i="17"/>
  <c r="I68" i="17"/>
  <c r="H68" i="17"/>
  <c r="G68" i="17"/>
  <c r="K67" i="17"/>
  <c r="J67" i="17"/>
  <c r="I67" i="17"/>
  <c r="H67" i="17"/>
  <c r="G67" i="17"/>
  <c r="K66" i="17"/>
  <c r="J66" i="17"/>
  <c r="I66" i="17"/>
  <c r="H66" i="17"/>
  <c r="G66" i="17"/>
  <c r="K65" i="17"/>
  <c r="J65" i="17"/>
  <c r="I65" i="17"/>
  <c r="H65" i="17"/>
  <c r="G65" i="17"/>
  <c r="K64" i="17"/>
  <c r="J64" i="17"/>
  <c r="I64" i="17"/>
  <c r="H64" i="17"/>
  <c r="G64" i="17"/>
  <c r="K63" i="17"/>
  <c r="J63" i="17"/>
  <c r="I63" i="17"/>
  <c r="H63" i="17"/>
  <c r="G63" i="17"/>
  <c r="K62" i="17"/>
  <c r="J62" i="17"/>
  <c r="I62" i="17"/>
  <c r="H62" i="17"/>
  <c r="G62" i="17"/>
  <c r="K61" i="17"/>
  <c r="J61" i="17"/>
  <c r="I61" i="17"/>
  <c r="H61" i="17"/>
  <c r="G61" i="17"/>
  <c r="K60" i="17"/>
  <c r="J60" i="17"/>
  <c r="I60" i="17"/>
  <c r="H60" i="17"/>
  <c r="G60" i="17"/>
  <c r="K59" i="17"/>
  <c r="J59" i="17"/>
  <c r="I59" i="17"/>
  <c r="H59" i="17"/>
  <c r="G59" i="17"/>
  <c r="K58" i="17"/>
  <c r="J58" i="17"/>
  <c r="I58" i="17"/>
  <c r="H58" i="17"/>
  <c r="G58" i="17"/>
  <c r="K57" i="17"/>
  <c r="J57" i="17"/>
  <c r="I57" i="17"/>
  <c r="H57" i="17"/>
  <c r="G57" i="17"/>
  <c r="K56" i="17"/>
  <c r="J56" i="17"/>
  <c r="I56" i="17"/>
  <c r="H56" i="17"/>
  <c r="G56" i="17"/>
  <c r="K55" i="17"/>
  <c r="J55" i="17"/>
  <c r="I55" i="17"/>
  <c r="H55" i="17"/>
  <c r="G55" i="17"/>
  <c r="K54" i="17"/>
  <c r="J54" i="17"/>
  <c r="I54" i="17"/>
  <c r="H54" i="17"/>
  <c r="G54" i="17"/>
  <c r="K53" i="17"/>
  <c r="J53" i="17"/>
  <c r="I53" i="17"/>
  <c r="H53" i="17"/>
  <c r="G53" i="17"/>
  <c r="K52" i="17"/>
  <c r="J52" i="17"/>
  <c r="I52" i="17"/>
  <c r="H52" i="17"/>
  <c r="G52" i="17"/>
  <c r="K51" i="17"/>
  <c r="J51" i="17"/>
  <c r="I51" i="17"/>
  <c r="H51" i="17"/>
  <c r="G51" i="17"/>
  <c r="K50" i="17"/>
  <c r="J50" i="17"/>
  <c r="I50" i="17"/>
  <c r="H50" i="17"/>
  <c r="G50" i="17"/>
  <c r="K49" i="17"/>
  <c r="J49" i="17"/>
  <c r="I49" i="17"/>
  <c r="H49" i="17"/>
  <c r="G49" i="17"/>
  <c r="K48" i="17"/>
  <c r="J48" i="17"/>
  <c r="I48" i="17"/>
  <c r="H48" i="17"/>
  <c r="G48" i="17"/>
  <c r="K47" i="17"/>
  <c r="J47" i="17"/>
  <c r="I47" i="17"/>
  <c r="H47" i="17"/>
  <c r="G47" i="17"/>
  <c r="K46" i="17"/>
  <c r="J46" i="17"/>
  <c r="I46" i="17"/>
  <c r="H46" i="17"/>
  <c r="G46" i="17"/>
  <c r="K45" i="17"/>
  <c r="J45" i="17"/>
  <c r="I45" i="17"/>
  <c r="H45" i="17"/>
  <c r="G45" i="17"/>
  <c r="K44" i="17"/>
  <c r="J44" i="17"/>
  <c r="I44" i="17"/>
  <c r="H44" i="17"/>
  <c r="G44" i="17"/>
  <c r="K43" i="17"/>
  <c r="J43" i="17"/>
  <c r="I43" i="17"/>
  <c r="H43" i="17"/>
  <c r="G43" i="17"/>
  <c r="K42" i="17"/>
  <c r="J42" i="17"/>
  <c r="I42" i="17"/>
  <c r="H42" i="17"/>
  <c r="G42" i="17"/>
  <c r="K41" i="17"/>
  <c r="J41" i="17"/>
  <c r="I41" i="17"/>
  <c r="H41" i="17"/>
  <c r="G41" i="17"/>
  <c r="K40" i="17"/>
  <c r="J40" i="17"/>
  <c r="I40" i="17"/>
  <c r="H40" i="17"/>
  <c r="G40" i="17"/>
  <c r="K39" i="17"/>
  <c r="J39" i="17"/>
  <c r="I39" i="17"/>
  <c r="H39" i="17"/>
  <c r="G39" i="17"/>
  <c r="K38" i="17"/>
  <c r="J38" i="17"/>
  <c r="I38" i="17"/>
  <c r="H38" i="17"/>
  <c r="G38" i="17"/>
  <c r="K37" i="17"/>
  <c r="J37" i="17"/>
  <c r="I37" i="17"/>
  <c r="H37" i="17"/>
  <c r="G37" i="17"/>
  <c r="K36" i="17"/>
  <c r="J36" i="17"/>
  <c r="I36" i="17"/>
  <c r="H36" i="17"/>
  <c r="G36" i="17"/>
  <c r="K35" i="17"/>
  <c r="J35" i="17"/>
  <c r="I35" i="17"/>
  <c r="H35" i="17"/>
  <c r="G35" i="17"/>
  <c r="K34" i="17"/>
  <c r="J34" i="17"/>
  <c r="I34" i="17"/>
  <c r="H34" i="17"/>
  <c r="G34" i="17"/>
  <c r="K33" i="17"/>
  <c r="J33" i="17"/>
  <c r="I33" i="17"/>
  <c r="H33" i="17"/>
  <c r="G33" i="17"/>
  <c r="K32" i="17"/>
  <c r="J32" i="17"/>
  <c r="I32" i="17"/>
  <c r="H32" i="17"/>
  <c r="G32" i="17"/>
  <c r="K31" i="17"/>
  <c r="J31" i="17"/>
  <c r="I31" i="17"/>
  <c r="H31" i="17"/>
  <c r="G31" i="17"/>
  <c r="K30" i="17"/>
  <c r="J30" i="17"/>
  <c r="I30" i="17"/>
  <c r="H30" i="17"/>
  <c r="G30" i="17"/>
  <c r="K29" i="17"/>
  <c r="J29" i="17"/>
  <c r="I29" i="17"/>
  <c r="H29" i="17"/>
  <c r="G29" i="17"/>
  <c r="K28" i="17"/>
  <c r="J28" i="17"/>
  <c r="I28" i="17"/>
  <c r="H28" i="17"/>
  <c r="G28" i="17"/>
  <c r="K27" i="17"/>
  <c r="J27" i="17"/>
  <c r="I27" i="17"/>
  <c r="H27" i="17"/>
  <c r="G27" i="17"/>
  <c r="K26" i="17"/>
  <c r="J26" i="17"/>
  <c r="I26" i="17"/>
  <c r="H26" i="17"/>
  <c r="G26" i="17"/>
  <c r="K25" i="17"/>
  <c r="J25" i="17"/>
  <c r="I25" i="17"/>
  <c r="H25" i="17"/>
  <c r="G25" i="17"/>
  <c r="K24" i="17"/>
  <c r="J24" i="17"/>
  <c r="I24" i="17"/>
  <c r="H24" i="17"/>
  <c r="G24" i="17"/>
  <c r="K23" i="17"/>
  <c r="J23" i="17"/>
  <c r="I23" i="17"/>
  <c r="H23" i="17"/>
  <c r="G23" i="17"/>
  <c r="K22" i="17"/>
  <c r="J22" i="17"/>
  <c r="I22" i="17"/>
  <c r="H22" i="17"/>
  <c r="G22" i="17"/>
  <c r="K21" i="17"/>
  <c r="J21" i="17"/>
  <c r="I21" i="17"/>
  <c r="H21" i="17"/>
  <c r="G21" i="17"/>
  <c r="K20" i="17"/>
  <c r="J20" i="17"/>
  <c r="I20" i="17"/>
  <c r="H20" i="17"/>
  <c r="G20" i="17"/>
  <c r="K19" i="17"/>
  <c r="J19" i="17"/>
  <c r="I19" i="17"/>
  <c r="H19" i="17"/>
  <c r="G19" i="17"/>
  <c r="K18" i="17"/>
  <c r="J18" i="17"/>
  <c r="I18" i="17"/>
  <c r="H18" i="17"/>
  <c r="G18" i="17"/>
  <c r="K17" i="17"/>
  <c r="J17" i="17"/>
  <c r="I17" i="17"/>
  <c r="H17" i="17"/>
  <c r="G17" i="17"/>
  <c r="K16" i="17"/>
  <c r="J16" i="17"/>
  <c r="I16" i="17"/>
  <c r="H16" i="17"/>
  <c r="G16" i="17"/>
  <c r="K15" i="17"/>
  <c r="J15" i="17"/>
  <c r="I15" i="17"/>
  <c r="H15" i="17"/>
  <c r="G15" i="17"/>
  <c r="K14" i="17"/>
  <c r="J14" i="17"/>
  <c r="I14" i="17"/>
  <c r="H14" i="17"/>
  <c r="G14" i="17"/>
  <c r="K13" i="17"/>
  <c r="J13" i="17"/>
  <c r="I13" i="17"/>
  <c r="H13" i="17"/>
  <c r="G13" i="17"/>
  <c r="I12" i="17"/>
  <c r="H12" i="17"/>
  <c r="G12" i="17"/>
  <c r="H11" i="17"/>
  <c r="I11" i="17" s="1"/>
  <c r="G11" i="17"/>
  <c r="H10" i="17"/>
  <c r="I10" i="17" s="1"/>
  <c r="G10" i="17"/>
  <c r="I9" i="17"/>
  <c r="H9" i="17"/>
  <c r="G9" i="17"/>
  <c r="J8" i="17"/>
  <c r="I8" i="17"/>
  <c r="J12" i="17" s="1"/>
  <c r="H8" i="17"/>
  <c r="G8" i="17"/>
  <c r="H7" i="17"/>
  <c r="G7" i="17"/>
  <c r="I7" i="17" s="1"/>
  <c r="H6" i="17"/>
  <c r="I6" i="17" s="1"/>
  <c r="G6" i="17"/>
  <c r="I5" i="17"/>
  <c r="J9" i="17" s="1"/>
  <c r="H5" i="17"/>
  <c r="G5" i="17"/>
  <c r="S200" i="16"/>
  <c r="R200" i="16"/>
  <c r="Q200" i="16"/>
  <c r="P200" i="16"/>
  <c r="M200" i="16"/>
  <c r="L200" i="16"/>
  <c r="K200" i="16"/>
  <c r="S199" i="16"/>
  <c r="R199" i="16"/>
  <c r="Q199" i="16"/>
  <c r="P199" i="16"/>
  <c r="M199" i="16"/>
  <c r="L199" i="16"/>
  <c r="K199" i="16"/>
  <c r="S198" i="16"/>
  <c r="R198" i="16"/>
  <c r="Q198" i="16"/>
  <c r="P198" i="16"/>
  <c r="M198" i="16"/>
  <c r="L198" i="16"/>
  <c r="K198" i="16"/>
  <c r="S197" i="16"/>
  <c r="R197" i="16"/>
  <c r="Q197" i="16"/>
  <c r="P197" i="16"/>
  <c r="M197" i="16"/>
  <c r="L197" i="16"/>
  <c r="K197" i="16"/>
  <c r="S196" i="16"/>
  <c r="R196" i="16"/>
  <c r="Q196" i="16"/>
  <c r="P196" i="16"/>
  <c r="M196" i="16"/>
  <c r="L196" i="16"/>
  <c r="K196" i="16"/>
  <c r="S195" i="16"/>
  <c r="R195" i="16"/>
  <c r="Q195" i="16"/>
  <c r="P195" i="16"/>
  <c r="M195" i="16"/>
  <c r="L195" i="16"/>
  <c r="K195" i="16"/>
  <c r="S194" i="16"/>
  <c r="R194" i="16"/>
  <c r="Q194" i="16"/>
  <c r="P194" i="16"/>
  <c r="M194" i="16"/>
  <c r="L194" i="16"/>
  <c r="K194" i="16"/>
  <c r="S193" i="16"/>
  <c r="R193" i="16"/>
  <c r="Q193" i="16"/>
  <c r="P193" i="16"/>
  <c r="M193" i="16"/>
  <c r="L193" i="16"/>
  <c r="K193" i="16"/>
  <c r="S192" i="16"/>
  <c r="R192" i="16"/>
  <c r="Q192" i="16"/>
  <c r="P192" i="16"/>
  <c r="M192" i="16"/>
  <c r="L192" i="16"/>
  <c r="K192" i="16"/>
  <c r="S191" i="16"/>
  <c r="R191" i="16"/>
  <c r="Q191" i="16"/>
  <c r="P191" i="16"/>
  <c r="M191" i="16"/>
  <c r="L191" i="16"/>
  <c r="K191" i="16"/>
  <c r="S190" i="16"/>
  <c r="R190" i="16"/>
  <c r="Q190" i="16"/>
  <c r="P190" i="16"/>
  <c r="M190" i="16"/>
  <c r="L190" i="16"/>
  <c r="K190" i="16"/>
  <c r="S189" i="16"/>
  <c r="R189" i="16"/>
  <c r="Q189" i="16"/>
  <c r="P189" i="16"/>
  <c r="M189" i="16"/>
  <c r="L189" i="16"/>
  <c r="K189" i="16"/>
  <c r="S188" i="16"/>
  <c r="R188" i="16"/>
  <c r="Q188" i="16"/>
  <c r="P188" i="16"/>
  <c r="M188" i="16"/>
  <c r="L188" i="16"/>
  <c r="K188" i="16"/>
  <c r="S187" i="16"/>
  <c r="R187" i="16"/>
  <c r="Q187" i="16"/>
  <c r="P187" i="16"/>
  <c r="M187" i="16"/>
  <c r="L187" i="16"/>
  <c r="K187" i="16"/>
  <c r="S186" i="16"/>
  <c r="R186" i="16"/>
  <c r="Q186" i="16"/>
  <c r="P186" i="16"/>
  <c r="M186" i="16"/>
  <c r="L186" i="16"/>
  <c r="K186" i="16"/>
  <c r="S185" i="16"/>
  <c r="R185" i="16"/>
  <c r="Q185" i="16"/>
  <c r="P185" i="16"/>
  <c r="M185" i="16"/>
  <c r="L185" i="16"/>
  <c r="K185" i="16"/>
  <c r="S184" i="16"/>
  <c r="R184" i="16"/>
  <c r="Q184" i="16"/>
  <c r="P184" i="16"/>
  <c r="M184" i="16"/>
  <c r="L184" i="16"/>
  <c r="K184" i="16"/>
  <c r="S183" i="16"/>
  <c r="R183" i="16"/>
  <c r="Q183" i="16"/>
  <c r="P183" i="16"/>
  <c r="M183" i="16"/>
  <c r="L183" i="16"/>
  <c r="K183" i="16"/>
  <c r="S182" i="16"/>
  <c r="R182" i="16"/>
  <c r="Q182" i="16"/>
  <c r="P182" i="16"/>
  <c r="M182" i="16"/>
  <c r="L182" i="16"/>
  <c r="K182" i="16"/>
  <c r="S181" i="16"/>
  <c r="R181" i="16"/>
  <c r="Q181" i="16"/>
  <c r="P181" i="16"/>
  <c r="M181" i="16"/>
  <c r="L181" i="16"/>
  <c r="K181" i="16"/>
  <c r="S180" i="16"/>
  <c r="R180" i="16"/>
  <c r="Q180" i="16"/>
  <c r="P180" i="16"/>
  <c r="M180" i="16"/>
  <c r="L180" i="16"/>
  <c r="K180" i="16"/>
  <c r="S179" i="16"/>
  <c r="R179" i="16"/>
  <c r="Q179" i="16"/>
  <c r="P179" i="16"/>
  <c r="M179" i="16"/>
  <c r="L179" i="16"/>
  <c r="K179" i="16"/>
  <c r="S178" i="16"/>
  <c r="R178" i="16"/>
  <c r="Q178" i="16"/>
  <c r="P178" i="16"/>
  <c r="M178" i="16"/>
  <c r="L178" i="16"/>
  <c r="K178" i="16"/>
  <c r="S177" i="16"/>
  <c r="R177" i="16"/>
  <c r="Q177" i="16"/>
  <c r="P177" i="16"/>
  <c r="M177" i="16"/>
  <c r="L177" i="16"/>
  <c r="K177" i="16"/>
  <c r="S176" i="16"/>
  <c r="R176" i="16"/>
  <c r="Q176" i="16"/>
  <c r="P176" i="16"/>
  <c r="M176" i="16"/>
  <c r="L176" i="16"/>
  <c r="K176" i="16"/>
  <c r="S175" i="16"/>
  <c r="R175" i="16"/>
  <c r="Q175" i="16"/>
  <c r="P175" i="16"/>
  <c r="M175" i="16"/>
  <c r="L175" i="16"/>
  <c r="K175" i="16"/>
  <c r="S174" i="16"/>
  <c r="R174" i="16"/>
  <c r="Q174" i="16"/>
  <c r="P174" i="16"/>
  <c r="M174" i="16"/>
  <c r="L174" i="16"/>
  <c r="K174" i="16"/>
  <c r="S173" i="16"/>
  <c r="R173" i="16"/>
  <c r="Q173" i="16"/>
  <c r="P173" i="16"/>
  <c r="M173" i="16"/>
  <c r="L173" i="16"/>
  <c r="K173" i="16"/>
  <c r="S172" i="16"/>
  <c r="R172" i="16"/>
  <c r="Q172" i="16"/>
  <c r="P172" i="16"/>
  <c r="M172" i="16"/>
  <c r="L172" i="16"/>
  <c r="K172" i="16"/>
  <c r="S171" i="16"/>
  <c r="R171" i="16"/>
  <c r="Q171" i="16"/>
  <c r="P171" i="16"/>
  <c r="M171" i="16"/>
  <c r="L171" i="16"/>
  <c r="K171" i="16"/>
  <c r="S170" i="16"/>
  <c r="R170" i="16"/>
  <c r="Q170" i="16"/>
  <c r="P170" i="16"/>
  <c r="M170" i="16"/>
  <c r="L170" i="16"/>
  <c r="K170" i="16"/>
  <c r="S169" i="16"/>
  <c r="R169" i="16"/>
  <c r="Q169" i="16"/>
  <c r="P169" i="16"/>
  <c r="M169" i="16"/>
  <c r="L169" i="16"/>
  <c r="K169" i="16"/>
  <c r="S168" i="16"/>
  <c r="R168" i="16"/>
  <c r="Q168" i="16"/>
  <c r="P168" i="16"/>
  <c r="M168" i="16"/>
  <c r="L168" i="16"/>
  <c r="K168" i="16"/>
  <c r="S167" i="16"/>
  <c r="R167" i="16"/>
  <c r="Q167" i="16"/>
  <c r="P167" i="16"/>
  <c r="M167" i="16"/>
  <c r="L167" i="16"/>
  <c r="K167" i="16"/>
  <c r="S166" i="16"/>
  <c r="R166" i="16"/>
  <c r="Q166" i="16"/>
  <c r="P166" i="16"/>
  <c r="M166" i="16"/>
  <c r="L166" i="16"/>
  <c r="K166" i="16"/>
  <c r="S165" i="16"/>
  <c r="R165" i="16"/>
  <c r="Q165" i="16"/>
  <c r="P165" i="16"/>
  <c r="M165" i="16"/>
  <c r="L165" i="16"/>
  <c r="K165" i="16"/>
  <c r="S164" i="16"/>
  <c r="R164" i="16"/>
  <c r="Q164" i="16"/>
  <c r="P164" i="16"/>
  <c r="M164" i="16"/>
  <c r="L164" i="16"/>
  <c r="K164" i="16"/>
  <c r="S163" i="16"/>
  <c r="R163" i="16"/>
  <c r="Q163" i="16"/>
  <c r="P163" i="16"/>
  <c r="M163" i="16"/>
  <c r="L163" i="16"/>
  <c r="K163" i="16"/>
  <c r="S162" i="16"/>
  <c r="R162" i="16"/>
  <c r="Q162" i="16"/>
  <c r="P162" i="16"/>
  <c r="M162" i="16"/>
  <c r="L162" i="16"/>
  <c r="K162" i="16"/>
  <c r="S161" i="16"/>
  <c r="R161" i="16"/>
  <c r="Q161" i="16"/>
  <c r="P161" i="16"/>
  <c r="M161" i="16"/>
  <c r="L161" i="16"/>
  <c r="K161" i="16"/>
  <c r="S160" i="16"/>
  <c r="R160" i="16"/>
  <c r="Q160" i="16"/>
  <c r="P160" i="16"/>
  <c r="M160" i="16"/>
  <c r="L160" i="16"/>
  <c r="K160" i="16"/>
  <c r="S159" i="16"/>
  <c r="R159" i="16"/>
  <c r="Q159" i="16"/>
  <c r="P159" i="16"/>
  <c r="M159" i="16"/>
  <c r="L159" i="16"/>
  <c r="K159" i="16"/>
  <c r="S158" i="16"/>
  <c r="R158" i="16"/>
  <c r="Q158" i="16"/>
  <c r="P158" i="16"/>
  <c r="M158" i="16"/>
  <c r="L158" i="16"/>
  <c r="K158" i="16"/>
  <c r="S157" i="16"/>
  <c r="R157" i="16"/>
  <c r="Q157" i="16"/>
  <c r="P157" i="16"/>
  <c r="M157" i="16"/>
  <c r="L157" i="16"/>
  <c r="K157" i="16"/>
  <c r="S156" i="16"/>
  <c r="R156" i="16"/>
  <c r="Q156" i="16"/>
  <c r="P156" i="16"/>
  <c r="M156" i="16"/>
  <c r="L156" i="16"/>
  <c r="K156" i="16"/>
  <c r="S155" i="16"/>
  <c r="R155" i="16"/>
  <c r="Q155" i="16"/>
  <c r="P155" i="16"/>
  <c r="M155" i="16"/>
  <c r="L155" i="16"/>
  <c r="K155" i="16"/>
  <c r="S154" i="16"/>
  <c r="R154" i="16"/>
  <c r="Q154" i="16"/>
  <c r="P154" i="16"/>
  <c r="M154" i="16"/>
  <c r="L154" i="16"/>
  <c r="K154" i="16"/>
  <c r="S153" i="16"/>
  <c r="R153" i="16"/>
  <c r="Q153" i="16"/>
  <c r="P153" i="16"/>
  <c r="M153" i="16"/>
  <c r="L153" i="16"/>
  <c r="K153" i="16"/>
  <c r="S152" i="16"/>
  <c r="R152" i="16"/>
  <c r="Q152" i="16"/>
  <c r="P152" i="16"/>
  <c r="M152" i="16"/>
  <c r="L152" i="16"/>
  <c r="K152" i="16"/>
  <c r="S151" i="16"/>
  <c r="R151" i="16"/>
  <c r="Q151" i="16"/>
  <c r="P151" i="16"/>
  <c r="M151" i="16"/>
  <c r="L151" i="16"/>
  <c r="K151" i="16"/>
  <c r="S150" i="16"/>
  <c r="R150" i="16"/>
  <c r="Q150" i="16"/>
  <c r="P150" i="16"/>
  <c r="M150" i="16"/>
  <c r="L150" i="16"/>
  <c r="K150" i="16"/>
  <c r="S149" i="16"/>
  <c r="R149" i="16"/>
  <c r="Q149" i="16"/>
  <c r="P149" i="16"/>
  <c r="M149" i="16"/>
  <c r="L149" i="16"/>
  <c r="K149" i="16"/>
  <c r="S148" i="16"/>
  <c r="R148" i="16"/>
  <c r="Q148" i="16"/>
  <c r="P148" i="16"/>
  <c r="M148" i="16"/>
  <c r="L148" i="16"/>
  <c r="K148" i="16"/>
  <c r="S147" i="16"/>
  <c r="R147" i="16"/>
  <c r="Q147" i="16"/>
  <c r="P147" i="16"/>
  <c r="M147" i="16"/>
  <c r="L147" i="16"/>
  <c r="K147" i="16"/>
  <c r="S146" i="16"/>
  <c r="R146" i="16"/>
  <c r="Q146" i="16"/>
  <c r="P146" i="16"/>
  <c r="M146" i="16"/>
  <c r="L146" i="16"/>
  <c r="K146" i="16"/>
  <c r="S145" i="16"/>
  <c r="R145" i="16"/>
  <c r="Q145" i="16"/>
  <c r="P145" i="16"/>
  <c r="M145" i="16"/>
  <c r="L145" i="16"/>
  <c r="K145" i="16"/>
  <c r="S144" i="16"/>
  <c r="R144" i="16"/>
  <c r="Q144" i="16"/>
  <c r="P144" i="16"/>
  <c r="M144" i="16"/>
  <c r="L144" i="16"/>
  <c r="K144" i="16"/>
  <c r="S143" i="16"/>
  <c r="R143" i="16"/>
  <c r="Q143" i="16"/>
  <c r="P143" i="16"/>
  <c r="M143" i="16"/>
  <c r="L143" i="16"/>
  <c r="K143" i="16"/>
  <c r="S142" i="16"/>
  <c r="R142" i="16"/>
  <c r="Q142" i="16"/>
  <c r="P142" i="16"/>
  <c r="M142" i="16"/>
  <c r="L142" i="16"/>
  <c r="K142" i="16"/>
  <c r="S141" i="16"/>
  <c r="R141" i="16"/>
  <c r="Q141" i="16"/>
  <c r="P141" i="16"/>
  <c r="M141" i="16"/>
  <c r="L141" i="16"/>
  <c r="K141" i="16"/>
  <c r="S140" i="16"/>
  <c r="R140" i="16"/>
  <c r="Q140" i="16"/>
  <c r="P140" i="16"/>
  <c r="M140" i="16"/>
  <c r="L140" i="16"/>
  <c r="K140" i="16"/>
  <c r="S139" i="16"/>
  <c r="R139" i="16"/>
  <c r="Q139" i="16"/>
  <c r="P139" i="16"/>
  <c r="M139" i="16"/>
  <c r="L139" i="16"/>
  <c r="K139" i="16"/>
  <c r="S138" i="16"/>
  <c r="R138" i="16"/>
  <c r="Q138" i="16"/>
  <c r="P138" i="16"/>
  <c r="M138" i="16"/>
  <c r="L138" i="16"/>
  <c r="K138" i="16"/>
  <c r="S137" i="16"/>
  <c r="R137" i="16"/>
  <c r="Q137" i="16"/>
  <c r="P137" i="16"/>
  <c r="M137" i="16"/>
  <c r="L137" i="16"/>
  <c r="K137" i="16"/>
  <c r="S136" i="16"/>
  <c r="R136" i="16"/>
  <c r="Q136" i="16"/>
  <c r="P136" i="16"/>
  <c r="M136" i="16"/>
  <c r="L136" i="16"/>
  <c r="K136" i="16"/>
  <c r="S135" i="16"/>
  <c r="R135" i="16"/>
  <c r="Q135" i="16"/>
  <c r="P135" i="16"/>
  <c r="M135" i="16"/>
  <c r="L135" i="16"/>
  <c r="K135" i="16"/>
  <c r="S134" i="16"/>
  <c r="R134" i="16"/>
  <c r="Q134" i="16"/>
  <c r="P134" i="16"/>
  <c r="M134" i="16"/>
  <c r="L134" i="16"/>
  <c r="K134" i="16"/>
  <c r="S133" i="16"/>
  <c r="R133" i="16"/>
  <c r="Q133" i="16"/>
  <c r="P133" i="16"/>
  <c r="M133" i="16"/>
  <c r="L133" i="16"/>
  <c r="K133" i="16"/>
  <c r="S132" i="16"/>
  <c r="R132" i="16"/>
  <c r="Q132" i="16"/>
  <c r="P132" i="16"/>
  <c r="M132" i="16"/>
  <c r="L132" i="16"/>
  <c r="K132" i="16"/>
  <c r="S131" i="16"/>
  <c r="R131" i="16"/>
  <c r="Q131" i="16"/>
  <c r="P131" i="16"/>
  <c r="M131" i="16"/>
  <c r="L131" i="16"/>
  <c r="K131" i="16"/>
  <c r="S130" i="16"/>
  <c r="R130" i="16"/>
  <c r="Q130" i="16"/>
  <c r="P130" i="16"/>
  <c r="M130" i="16"/>
  <c r="L130" i="16"/>
  <c r="K130" i="16"/>
  <c r="S129" i="16"/>
  <c r="R129" i="16"/>
  <c r="Q129" i="16"/>
  <c r="P129" i="16"/>
  <c r="M129" i="16"/>
  <c r="L129" i="16"/>
  <c r="K129" i="16"/>
  <c r="S128" i="16"/>
  <c r="R128" i="16"/>
  <c r="Q128" i="16"/>
  <c r="P128" i="16"/>
  <c r="M128" i="16"/>
  <c r="L128" i="16"/>
  <c r="K128" i="16"/>
  <c r="S127" i="16"/>
  <c r="R127" i="16"/>
  <c r="Q127" i="16"/>
  <c r="P127" i="16"/>
  <c r="M127" i="16"/>
  <c r="L127" i="16"/>
  <c r="K127" i="16"/>
  <c r="S126" i="16"/>
  <c r="R126" i="16"/>
  <c r="Q126" i="16"/>
  <c r="P126" i="16"/>
  <c r="M126" i="16"/>
  <c r="L126" i="16"/>
  <c r="K126" i="16"/>
  <c r="S125" i="16"/>
  <c r="R125" i="16"/>
  <c r="Q125" i="16"/>
  <c r="P125" i="16"/>
  <c r="M125" i="16"/>
  <c r="L125" i="16"/>
  <c r="K125" i="16"/>
  <c r="S124" i="16"/>
  <c r="R124" i="16"/>
  <c r="Q124" i="16"/>
  <c r="P124" i="16"/>
  <c r="M124" i="16"/>
  <c r="L124" i="16"/>
  <c r="K124" i="16"/>
  <c r="S123" i="16"/>
  <c r="R123" i="16"/>
  <c r="Q123" i="16"/>
  <c r="P123" i="16"/>
  <c r="M123" i="16"/>
  <c r="L123" i="16"/>
  <c r="K123" i="16"/>
  <c r="S122" i="16"/>
  <c r="R122" i="16"/>
  <c r="Q122" i="16"/>
  <c r="P122" i="16"/>
  <c r="M122" i="16"/>
  <c r="L122" i="16"/>
  <c r="K122" i="16"/>
  <c r="S121" i="16"/>
  <c r="R121" i="16"/>
  <c r="Q121" i="16"/>
  <c r="P121" i="16"/>
  <c r="M121" i="16"/>
  <c r="L121" i="16"/>
  <c r="K121" i="16"/>
  <c r="S120" i="16"/>
  <c r="R120" i="16"/>
  <c r="Q120" i="16"/>
  <c r="P120" i="16"/>
  <c r="M120" i="16"/>
  <c r="L120" i="16"/>
  <c r="K120" i="16"/>
  <c r="S119" i="16"/>
  <c r="R119" i="16"/>
  <c r="Q119" i="16"/>
  <c r="P119" i="16"/>
  <c r="M119" i="16"/>
  <c r="L119" i="16"/>
  <c r="K119" i="16"/>
  <c r="S118" i="16"/>
  <c r="R118" i="16"/>
  <c r="Q118" i="16"/>
  <c r="P118" i="16"/>
  <c r="M118" i="16"/>
  <c r="L118" i="16"/>
  <c r="K118" i="16"/>
  <c r="S117" i="16"/>
  <c r="R117" i="16"/>
  <c r="Q117" i="16"/>
  <c r="P117" i="16"/>
  <c r="M117" i="16"/>
  <c r="L117" i="16"/>
  <c r="K117" i="16"/>
  <c r="S116" i="16"/>
  <c r="R116" i="16"/>
  <c r="Q116" i="16"/>
  <c r="P116" i="16"/>
  <c r="M116" i="16"/>
  <c r="L116" i="16"/>
  <c r="K116" i="16"/>
  <c r="S115" i="16"/>
  <c r="R115" i="16"/>
  <c r="Q115" i="16"/>
  <c r="P115" i="16"/>
  <c r="M115" i="16"/>
  <c r="L115" i="16"/>
  <c r="K115" i="16"/>
  <c r="S114" i="16"/>
  <c r="R114" i="16"/>
  <c r="Q114" i="16"/>
  <c r="P114" i="16"/>
  <c r="M114" i="16"/>
  <c r="L114" i="16"/>
  <c r="K114" i="16"/>
  <c r="S113" i="16"/>
  <c r="R113" i="16"/>
  <c r="Q113" i="16"/>
  <c r="P113" i="16"/>
  <c r="M113" i="16"/>
  <c r="L113" i="16"/>
  <c r="K113" i="16"/>
  <c r="S112" i="16"/>
  <c r="R112" i="16"/>
  <c r="Q112" i="16"/>
  <c r="P112" i="16"/>
  <c r="M112" i="16"/>
  <c r="L112" i="16"/>
  <c r="K112" i="16"/>
  <c r="S111" i="16"/>
  <c r="R111" i="16"/>
  <c r="Q111" i="16"/>
  <c r="P111" i="16"/>
  <c r="M111" i="16"/>
  <c r="L111" i="16"/>
  <c r="K111" i="16"/>
  <c r="S110" i="16"/>
  <c r="R110" i="16"/>
  <c r="Q110" i="16"/>
  <c r="P110" i="16"/>
  <c r="M110" i="16"/>
  <c r="L110" i="16"/>
  <c r="K110" i="16"/>
  <c r="S109" i="16"/>
  <c r="R109" i="16"/>
  <c r="Q109" i="16"/>
  <c r="P109" i="16"/>
  <c r="M109" i="16"/>
  <c r="L109" i="16"/>
  <c r="K109" i="16"/>
  <c r="S108" i="16"/>
  <c r="R108" i="16"/>
  <c r="Q108" i="16"/>
  <c r="P108" i="16"/>
  <c r="M108" i="16"/>
  <c r="L108" i="16"/>
  <c r="K108" i="16"/>
  <c r="S107" i="16"/>
  <c r="R107" i="16"/>
  <c r="Q107" i="16"/>
  <c r="P107" i="16"/>
  <c r="M107" i="16"/>
  <c r="L107" i="16"/>
  <c r="K107" i="16"/>
  <c r="S106" i="16"/>
  <c r="R106" i="16"/>
  <c r="Q106" i="16"/>
  <c r="P106" i="16"/>
  <c r="M106" i="16"/>
  <c r="L106" i="16"/>
  <c r="K106" i="16"/>
  <c r="S105" i="16"/>
  <c r="R105" i="16"/>
  <c r="Q105" i="16"/>
  <c r="P105" i="16"/>
  <c r="M105" i="16"/>
  <c r="L105" i="16"/>
  <c r="K105" i="16"/>
  <c r="S104" i="16"/>
  <c r="R104" i="16"/>
  <c r="Q104" i="16"/>
  <c r="P104" i="16"/>
  <c r="M104" i="16"/>
  <c r="L104" i="16"/>
  <c r="K104" i="16"/>
  <c r="S103" i="16"/>
  <c r="R103" i="16"/>
  <c r="Q103" i="16"/>
  <c r="P103" i="16"/>
  <c r="M103" i="16"/>
  <c r="L103" i="16"/>
  <c r="K103" i="16"/>
  <c r="S102" i="16"/>
  <c r="R102" i="16"/>
  <c r="Q102" i="16"/>
  <c r="P102" i="16"/>
  <c r="M102" i="16"/>
  <c r="L102" i="16"/>
  <c r="K102" i="16"/>
  <c r="S101" i="16"/>
  <c r="R101" i="16"/>
  <c r="Q101" i="16"/>
  <c r="P101" i="16"/>
  <c r="M101" i="16"/>
  <c r="L101" i="16"/>
  <c r="K101" i="16"/>
  <c r="S100" i="16"/>
  <c r="R100" i="16"/>
  <c r="Q100" i="16"/>
  <c r="P100" i="16"/>
  <c r="M100" i="16"/>
  <c r="L100" i="16"/>
  <c r="K100" i="16"/>
  <c r="S99" i="16"/>
  <c r="R99" i="16"/>
  <c r="Q99" i="16"/>
  <c r="P99" i="16"/>
  <c r="M99" i="16"/>
  <c r="L99" i="16"/>
  <c r="K99" i="16"/>
  <c r="S98" i="16"/>
  <c r="R98" i="16"/>
  <c r="Q98" i="16"/>
  <c r="P98" i="16"/>
  <c r="M98" i="16"/>
  <c r="L98" i="16"/>
  <c r="K98" i="16"/>
  <c r="S97" i="16"/>
  <c r="R97" i="16"/>
  <c r="Q97" i="16"/>
  <c r="P97" i="16"/>
  <c r="M97" i="16"/>
  <c r="L97" i="16"/>
  <c r="K97" i="16"/>
  <c r="S96" i="16"/>
  <c r="R96" i="16"/>
  <c r="Q96" i="16"/>
  <c r="P96" i="16"/>
  <c r="M96" i="16"/>
  <c r="L96" i="16"/>
  <c r="K96" i="16"/>
  <c r="S95" i="16"/>
  <c r="R95" i="16"/>
  <c r="Q95" i="16"/>
  <c r="P95" i="16"/>
  <c r="M95" i="16"/>
  <c r="L95" i="16"/>
  <c r="K95" i="16"/>
  <c r="S94" i="16"/>
  <c r="R94" i="16"/>
  <c r="Q94" i="16"/>
  <c r="P94" i="16"/>
  <c r="M94" i="16"/>
  <c r="L94" i="16"/>
  <c r="K94" i="16"/>
  <c r="S93" i="16"/>
  <c r="R93" i="16"/>
  <c r="Q93" i="16"/>
  <c r="P93" i="16"/>
  <c r="M93" i="16"/>
  <c r="L93" i="16"/>
  <c r="K93" i="16"/>
  <c r="S92" i="16"/>
  <c r="R92" i="16"/>
  <c r="Q92" i="16"/>
  <c r="P92" i="16"/>
  <c r="M92" i="16"/>
  <c r="L92" i="16"/>
  <c r="K92" i="16"/>
  <c r="S91" i="16"/>
  <c r="R91" i="16"/>
  <c r="Q91" i="16"/>
  <c r="P91" i="16"/>
  <c r="M91" i="16"/>
  <c r="L91" i="16"/>
  <c r="K91" i="16"/>
  <c r="S90" i="16"/>
  <c r="R90" i="16"/>
  <c r="Q90" i="16"/>
  <c r="P90" i="16"/>
  <c r="M90" i="16"/>
  <c r="L90" i="16"/>
  <c r="K90" i="16"/>
  <c r="S89" i="16"/>
  <c r="R89" i="16"/>
  <c r="Q89" i="16"/>
  <c r="P89" i="16"/>
  <c r="M89" i="16"/>
  <c r="L89" i="16"/>
  <c r="K89" i="16"/>
  <c r="S88" i="16"/>
  <c r="R88" i="16"/>
  <c r="Q88" i="16"/>
  <c r="P88" i="16"/>
  <c r="M88" i="16"/>
  <c r="L88" i="16"/>
  <c r="K88" i="16"/>
  <c r="S87" i="16"/>
  <c r="R87" i="16"/>
  <c r="Q87" i="16"/>
  <c r="P87" i="16"/>
  <c r="M87" i="16"/>
  <c r="L87" i="16"/>
  <c r="K87" i="16"/>
  <c r="S86" i="16"/>
  <c r="R86" i="16"/>
  <c r="Q86" i="16"/>
  <c r="P86" i="16"/>
  <c r="M86" i="16"/>
  <c r="L86" i="16"/>
  <c r="K86" i="16"/>
  <c r="S85" i="16"/>
  <c r="R85" i="16"/>
  <c r="Q85" i="16"/>
  <c r="P85" i="16"/>
  <c r="M85" i="16"/>
  <c r="L85" i="16"/>
  <c r="K85" i="16"/>
  <c r="S84" i="16"/>
  <c r="R84" i="16"/>
  <c r="Q84" i="16"/>
  <c r="P84" i="16"/>
  <c r="M84" i="16"/>
  <c r="L84" i="16"/>
  <c r="K84" i="16"/>
  <c r="S83" i="16"/>
  <c r="R83" i="16"/>
  <c r="Q83" i="16"/>
  <c r="P83" i="16"/>
  <c r="M83" i="16"/>
  <c r="L83" i="16"/>
  <c r="K83" i="16"/>
  <c r="S82" i="16"/>
  <c r="R82" i="16"/>
  <c r="Q82" i="16"/>
  <c r="P82" i="16"/>
  <c r="M82" i="16"/>
  <c r="L82" i="16"/>
  <c r="K82" i="16"/>
  <c r="S81" i="16"/>
  <c r="R81" i="16"/>
  <c r="Q81" i="16"/>
  <c r="P81" i="16"/>
  <c r="M81" i="16"/>
  <c r="L81" i="16"/>
  <c r="K81" i="16"/>
  <c r="S80" i="16"/>
  <c r="R80" i="16"/>
  <c r="Q80" i="16"/>
  <c r="P80" i="16"/>
  <c r="M80" i="16"/>
  <c r="L80" i="16"/>
  <c r="K80" i="16"/>
  <c r="S79" i="16"/>
  <c r="R79" i="16"/>
  <c r="Q79" i="16"/>
  <c r="P79" i="16"/>
  <c r="M79" i="16"/>
  <c r="L79" i="16"/>
  <c r="K79" i="16"/>
  <c r="S78" i="16"/>
  <c r="R78" i="16"/>
  <c r="Q78" i="16"/>
  <c r="P78" i="16"/>
  <c r="M78" i="16"/>
  <c r="L78" i="16"/>
  <c r="K78" i="16"/>
  <c r="S77" i="16"/>
  <c r="R77" i="16"/>
  <c r="Q77" i="16"/>
  <c r="P77" i="16"/>
  <c r="M77" i="16"/>
  <c r="L77" i="16"/>
  <c r="K77" i="16"/>
  <c r="S76" i="16"/>
  <c r="R76" i="16"/>
  <c r="Q76" i="16"/>
  <c r="P76" i="16"/>
  <c r="M76" i="16"/>
  <c r="L76" i="16"/>
  <c r="K76" i="16"/>
  <c r="S75" i="16"/>
  <c r="R75" i="16"/>
  <c r="Q75" i="16"/>
  <c r="P75" i="16"/>
  <c r="M75" i="16"/>
  <c r="L75" i="16"/>
  <c r="K75" i="16"/>
  <c r="S74" i="16"/>
  <c r="R74" i="16"/>
  <c r="Q74" i="16"/>
  <c r="P74" i="16"/>
  <c r="M74" i="16"/>
  <c r="L74" i="16"/>
  <c r="K74" i="16"/>
  <c r="S73" i="16"/>
  <c r="R73" i="16"/>
  <c r="Q73" i="16"/>
  <c r="P73" i="16"/>
  <c r="M73" i="16"/>
  <c r="L73" i="16"/>
  <c r="K73" i="16"/>
  <c r="S72" i="16"/>
  <c r="R72" i="16"/>
  <c r="Q72" i="16"/>
  <c r="P72" i="16"/>
  <c r="M72" i="16"/>
  <c r="L72" i="16"/>
  <c r="K72" i="16"/>
  <c r="S71" i="16"/>
  <c r="R71" i="16"/>
  <c r="Q71" i="16"/>
  <c r="P71" i="16"/>
  <c r="M71" i="16"/>
  <c r="L71" i="16"/>
  <c r="K71" i="16"/>
  <c r="S70" i="16"/>
  <c r="R70" i="16"/>
  <c r="Q70" i="16"/>
  <c r="P70" i="16"/>
  <c r="M70" i="16"/>
  <c r="L70" i="16"/>
  <c r="K70" i="16"/>
  <c r="S69" i="16"/>
  <c r="R69" i="16"/>
  <c r="Q69" i="16"/>
  <c r="P69" i="16"/>
  <c r="M69" i="16"/>
  <c r="L69" i="16"/>
  <c r="K69" i="16"/>
  <c r="S68" i="16"/>
  <c r="R68" i="16"/>
  <c r="Q68" i="16"/>
  <c r="P68" i="16"/>
  <c r="M68" i="16"/>
  <c r="L68" i="16"/>
  <c r="K68" i="16"/>
  <c r="S67" i="16"/>
  <c r="R67" i="16"/>
  <c r="Q67" i="16"/>
  <c r="P67" i="16"/>
  <c r="M67" i="16"/>
  <c r="L67" i="16"/>
  <c r="K67" i="16"/>
  <c r="S66" i="16"/>
  <c r="R66" i="16"/>
  <c r="Q66" i="16"/>
  <c r="P66" i="16"/>
  <c r="M66" i="16"/>
  <c r="L66" i="16"/>
  <c r="K66" i="16"/>
  <c r="S65" i="16"/>
  <c r="R65" i="16"/>
  <c r="Q65" i="16"/>
  <c r="P65" i="16"/>
  <c r="M65" i="16"/>
  <c r="L65" i="16"/>
  <c r="K65" i="16"/>
  <c r="S64" i="16"/>
  <c r="R64" i="16"/>
  <c r="Q64" i="16"/>
  <c r="P64" i="16"/>
  <c r="M64" i="16"/>
  <c r="L64" i="16"/>
  <c r="K64" i="16"/>
  <c r="S63" i="16"/>
  <c r="R63" i="16"/>
  <c r="Q63" i="16"/>
  <c r="P63" i="16"/>
  <c r="M63" i="16"/>
  <c r="L63" i="16"/>
  <c r="K63" i="16"/>
  <c r="S62" i="16"/>
  <c r="R62" i="16"/>
  <c r="Q62" i="16"/>
  <c r="P62" i="16"/>
  <c r="M62" i="16"/>
  <c r="L62" i="16"/>
  <c r="K62" i="16"/>
  <c r="S61" i="16"/>
  <c r="R61" i="16"/>
  <c r="Q61" i="16"/>
  <c r="P61" i="16"/>
  <c r="M61" i="16"/>
  <c r="L61" i="16"/>
  <c r="K61" i="16"/>
  <c r="S60" i="16"/>
  <c r="R60" i="16"/>
  <c r="Q60" i="16"/>
  <c r="P60" i="16"/>
  <c r="M60" i="16"/>
  <c r="L60" i="16"/>
  <c r="K60" i="16"/>
  <c r="S59" i="16"/>
  <c r="R59" i="16"/>
  <c r="Q59" i="16"/>
  <c r="P59" i="16"/>
  <c r="M59" i="16"/>
  <c r="L59" i="16"/>
  <c r="K59" i="16"/>
  <c r="S58" i="16"/>
  <c r="R58" i="16"/>
  <c r="Q58" i="16"/>
  <c r="P58" i="16"/>
  <c r="M58" i="16"/>
  <c r="L58" i="16"/>
  <c r="K58" i="16"/>
  <c r="S57" i="16"/>
  <c r="R57" i="16"/>
  <c r="Q57" i="16"/>
  <c r="P57" i="16"/>
  <c r="M57" i="16"/>
  <c r="L57" i="16"/>
  <c r="K57" i="16"/>
  <c r="S56" i="16"/>
  <c r="R56" i="16"/>
  <c r="Q56" i="16"/>
  <c r="P56" i="16"/>
  <c r="M56" i="16"/>
  <c r="L56" i="16"/>
  <c r="K56" i="16"/>
  <c r="S55" i="16"/>
  <c r="R55" i="16"/>
  <c r="Q55" i="16"/>
  <c r="P55" i="16"/>
  <c r="M55" i="16"/>
  <c r="L55" i="16"/>
  <c r="K55" i="16"/>
  <c r="S54" i="16"/>
  <c r="R54" i="16"/>
  <c r="Q54" i="16"/>
  <c r="P54" i="16"/>
  <c r="M54" i="16"/>
  <c r="L54" i="16"/>
  <c r="K54" i="16"/>
  <c r="S53" i="16"/>
  <c r="R53" i="16"/>
  <c r="Q53" i="16"/>
  <c r="P53" i="16"/>
  <c r="M53" i="16"/>
  <c r="L53" i="16"/>
  <c r="K53" i="16"/>
  <c r="S52" i="16"/>
  <c r="R52" i="16"/>
  <c r="Q52" i="16"/>
  <c r="P52" i="16"/>
  <c r="M52" i="16"/>
  <c r="L52" i="16"/>
  <c r="K52" i="16"/>
  <c r="S51" i="16"/>
  <c r="R51" i="16"/>
  <c r="Q51" i="16"/>
  <c r="P51" i="16"/>
  <c r="M51" i="16"/>
  <c r="L51" i="16"/>
  <c r="K51" i="16"/>
  <c r="S50" i="16"/>
  <c r="R50" i="16"/>
  <c r="Q50" i="16"/>
  <c r="P50" i="16"/>
  <c r="M50" i="16"/>
  <c r="L50" i="16"/>
  <c r="K50" i="16"/>
  <c r="S49" i="16"/>
  <c r="R49" i="16"/>
  <c r="Q49" i="16"/>
  <c r="P49" i="16"/>
  <c r="M49" i="16"/>
  <c r="L49" i="16"/>
  <c r="K49" i="16"/>
  <c r="S48" i="16"/>
  <c r="R48" i="16"/>
  <c r="Q48" i="16"/>
  <c r="P48" i="16"/>
  <c r="M48" i="16"/>
  <c r="L48" i="16"/>
  <c r="K48" i="16"/>
  <c r="S47" i="16"/>
  <c r="R47" i="16"/>
  <c r="Q47" i="16"/>
  <c r="P47" i="16"/>
  <c r="M47" i="16"/>
  <c r="L47" i="16"/>
  <c r="K47" i="16"/>
  <c r="S46" i="16"/>
  <c r="R46" i="16"/>
  <c r="Q46" i="16"/>
  <c r="P46" i="16"/>
  <c r="M46" i="16"/>
  <c r="L46" i="16"/>
  <c r="K46" i="16"/>
  <c r="S45" i="16"/>
  <c r="R45" i="16"/>
  <c r="Q45" i="16"/>
  <c r="P45" i="16"/>
  <c r="M45" i="16"/>
  <c r="L45" i="16"/>
  <c r="K45" i="16"/>
  <c r="S44" i="16"/>
  <c r="R44" i="16"/>
  <c r="Q44" i="16"/>
  <c r="P44" i="16"/>
  <c r="M44" i="16"/>
  <c r="L44" i="16"/>
  <c r="K44" i="16"/>
  <c r="S43" i="16"/>
  <c r="R43" i="16"/>
  <c r="Q43" i="16"/>
  <c r="P43" i="16"/>
  <c r="M43" i="16"/>
  <c r="L43" i="16"/>
  <c r="K43" i="16"/>
  <c r="S42" i="16"/>
  <c r="R42" i="16"/>
  <c r="Q42" i="16"/>
  <c r="P42" i="16"/>
  <c r="M42" i="16"/>
  <c r="L42" i="16"/>
  <c r="K42" i="16"/>
  <c r="S41" i="16"/>
  <c r="R41" i="16"/>
  <c r="Q41" i="16"/>
  <c r="P41" i="16"/>
  <c r="M41" i="16"/>
  <c r="L41" i="16"/>
  <c r="K41" i="16"/>
  <c r="S40" i="16"/>
  <c r="R40" i="16"/>
  <c r="Q40" i="16"/>
  <c r="P40" i="16"/>
  <c r="M40" i="16"/>
  <c r="L40" i="16"/>
  <c r="K40" i="16"/>
  <c r="S39" i="16"/>
  <c r="R39" i="16"/>
  <c r="Q39" i="16"/>
  <c r="P39" i="16"/>
  <c r="M39" i="16"/>
  <c r="L39" i="16"/>
  <c r="K39" i="16"/>
  <c r="S38" i="16"/>
  <c r="R38" i="16"/>
  <c r="Q38" i="16"/>
  <c r="P38" i="16"/>
  <c r="M38" i="16"/>
  <c r="L38" i="16"/>
  <c r="K38" i="16"/>
  <c r="S37" i="16"/>
  <c r="R37" i="16"/>
  <c r="Q37" i="16"/>
  <c r="P37" i="16"/>
  <c r="M37" i="16"/>
  <c r="L37" i="16"/>
  <c r="K37" i="16"/>
  <c r="S36" i="16"/>
  <c r="R36" i="16"/>
  <c r="Q36" i="16"/>
  <c r="P36" i="16"/>
  <c r="M36" i="16"/>
  <c r="L36" i="16"/>
  <c r="K36" i="16"/>
  <c r="S35" i="16"/>
  <c r="R35" i="16"/>
  <c r="Q35" i="16"/>
  <c r="P35" i="16"/>
  <c r="M35" i="16"/>
  <c r="L35" i="16"/>
  <c r="K35" i="16"/>
  <c r="S34" i="16"/>
  <c r="R34" i="16"/>
  <c r="Q34" i="16"/>
  <c r="P34" i="16"/>
  <c r="M34" i="16"/>
  <c r="L34" i="16"/>
  <c r="K34" i="16"/>
  <c r="S33" i="16"/>
  <c r="R33" i="16"/>
  <c r="Q33" i="16"/>
  <c r="P33" i="16"/>
  <c r="M33" i="16"/>
  <c r="L33" i="16"/>
  <c r="K33" i="16"/>
  <c r="S32" i="16"/>
  <c r="R32" i="16"/>
  <c r="Q32" i="16"/>
  <c r="P32" i="16"/>
  <c r="M32" i="16"/>
  <c r="L32" i="16"/>
  <c r="K32" i="16"/>
  <c r="S31" i="16"/>
  <c r="R31" i="16"/>
  <c r="Q31" i="16"/>
  <c r="P31" i="16"/>
  <c r="M31" i="16"/>
  <c r="L31" i="16"/>
  <c r="K31" i="16"/>
  <c r="S30" i="16"/>
  <c r="R30" i="16"/>
  <c r="Q30" i="16"/>
  <c r="P30" i="16"/>
  <c r="M30" i="16"/>
  <c r="L30" i="16"/>
  <c r="K30" i="16"/>
  <c r="S29" i="16"/>
  <c r="R29" i="16"/>
  <c r="Q29" i="16"/>
  <c r="P29" i="16"/>
  <c r="M29" i="16"/>
  <c r="L29" i="16"/>
  <c r="K29" i="16"/>
  <c r="S28" i="16"/>
  <c r="R28" i="16"/>
  <c r="Q28" i="16"/>
  <c r="P28" i="16"/>
  <c r="M28" i="16"/>
  <c r="L28" i="16"/>
  <c r="K28" i="16"/>
  <c r="S27" i="16"/>
  <c r="R27" i="16"/>
  <c r="Q27" i="16"/>
  <c r="P27" i="16"/>
  <c r="M27" i="16"/>
  <c r="L27" i="16"/>
  <c r="K27" i="16"/>
  <c r="S26" i="16"/>
  <c r="R26" i="16"/>
  <c r="Q26" i="16"/>
  <c r="P26" i="16"/>
  <c r="M26" i="16"/>
  <c r="L26" i="16"/>
  <c r="K26" i="16"/>
  <c r="S25" i="16"/>
  <c r="R25" i="16"/>
  <c r="Q25" i="16"/>
  <c r="P25" i="16"/>
  <c r="M25" i="16"/>
  <c r="L25" i="16"/>
  <c r="K25" i="16"/>
  <c r="S24" i="16"/>
  <c r="R24" i="16"/>
  <c r="Q24" i="16"/>
  <c r="P24" i="16"/>
  <c r="M24" i="16"/>
  <c r="L24" i="16"/>
  <c r="K24" i="16"/>
  <c r="S23" i="16"/>
  <c r="R23" i="16"/>
  <c r="Q23" i="16"/>
  <c r="P23" i="16"/>
  <c r="M23" i="16"/>
  <c r="L23" i="16"/>
  <c r="K23" i="16"/>
  <c r="S22" i="16"/>
  <c r="R22" i="16"/>
  <c r="Q22" i="16"/>
  <c r="P22" i="16"/>
  <c r="M22" i="16"/>
  <c r="L22" i="16"/>
  <c r="K22" i="16"/>
  <c r="S21" i="16"/>
  <c r="R21" i="16"/>
  <c r="Q21" i="16"/>
  <c r="P21" i="16"/>
  <c r="M21" i="16"/>
  <c r="L21" i="16"/>
  <c r="K21" i="16"/>
  <c r="S20" i="16"/>
  <c r="R20" i="16"/>
  <c r="Q20" i="16"/>
  <c r="P20" i="16"/>
  <c r="M20" i="16"/>
  <c r="L20" i="16"/>
  <c r="K20" i="16"/>
  <c r="S19" i="16"/>
  <c r="R19" i="16"/>
  <c r="Q19" i="16"/>
  <c r="P19" i="16"/>
  <c r="M19" i="16"/>
  <c r="L19" i="16"/>
  <c r="K19" i="16"/>
  <c r="S18" i="16"/>
  <c r="R18" i="16"/>
  <c r="Q18" i="16"/>
  <c r="P18" i="16"/>
  <c r="M18" i="16"/>
  <c r="L18" i="16"/>
  <c r="K18" i="16"/>
  <c r="S17" i="16"/>
  <c r="R17" i="16"/>
  <c r="Q17" i="16"/>
  <c r="P17" i="16"/>
  <c r="M17" i="16"/>
  <c r="L17" i="16"/>
  <c r="K17" i="16"/>
  <c r="S16" i="16"/>
  <c r="R16" i="16"/>
  <c r="Q16" i="16"/>
  <c r="P16" i="16"/>
  <c r="M16" i="16"/>
  <c r="L16" i="16"/>
  <c r="K16" i="16"/>
  <c r="S15" i="16"/>
  <c r="R15" i="16"/>
  <c r="Q15" i="16"/>
  <c r="P15" i="16"/>
  <c r="M15" i="16"/>
  <c r="L15" i="16"/>
  <c r="K15" i="16"/>
  <c r="S14" i="16"/>
  <c r="R14" i="16"/>
  <c r="Q14" i="16"/>
  <c r="P14" i="16"/>
  <c r="M14" i="16"/>
  <c r="L14" i="16"/>
  <c r="K14" i="16"/>
  <c r="S13" i="16"/>
  <c r="R13" i="16"/>
  <c r="Q13" i="16"/>
  <c r="P13" i="16"/>
  <c r="M13" i="16"/>
  <c r="L13" i="16"/>
  <c r="K13" i="16"/>
  <c r="S12" i="16"/>
  <c r="R12" i="16"/>
  <c r="Q12" i="16"/>
  <c r="P12" i="16"/>
  <c r="M12" i="16"/>
  <c r="L12" i="16"/>
  <c r="K12" i="16"/>
  <c r="S11" i="16"/>
  <c r="R11" i="16"/>
  <c r="Q11" i="16"/>
  <c r="P11" i="16"/>
  <c r="M11" i="16"/>
  <c r="L11" i="16"/>
  <c r="K11" i="16"/>
  <c r="S10" i="16"/>
  <c r="R10" i="16"/>
  <c r="Q10" i="16"/>
  <c r="P10" i="16"/>
  <c r="M10" i="16"/>
  <c r="L10" i="16"/>
  <c r="K10" i="16"/>
  <c r="S9" i="16"/>
  <c r="R9" i="16"/>
  <c r="Q9" i="16"/>
  <c r="P9" i="16"/>
  <c r="M9" i="16"/>
  <c r="L9" i="16"/>
  <c r="K9" i="16"/>
  <c r="Q8" i="16"/>
  <c r="M8" i="16"/>
  <c r="L8" i="16"/>
  <c r="K8" i="16"/>
  <c r="P8" i="16" s="1"/>
  <c r="Q7" i="16"/>
  <c r="M7" i="16"/>
  <c r="L7" i="16"/>
  <c r="K7" i="16"/>
  <c r="P7" i="16" s="1"/>
  <c r="Q6" i="16"/>
  <c r="M6" i="16"/>
  <c r="L6" i="16"/>
  <c r="K6" i="16"/>
  <c r="Q5" i="16"/>
  <c r="M5" i="16"/>
  <c r="L5" i="16"/>
  <c r="K5" i="16"/>
  <c r="P200" i="8"/>
  <c r="O200" i="8"/>
  <c r="L200" i="8"/>
  <c r="P199" i="8"/>
  <c r="O199" i="8"/>
  <c r="L199" i="8"/>
  <c r="P198" i="8"/>
  <c r="O198" i="8"/>
  <c r="L198" i="8"/>
  <c r="P197" i="8"/>
  <c r="O197" i="8"/>
  <c r="L197" i="8"/>
  <c r="P196" i="8"/>
  <c r="O196" i="8"/>
  <c r="L196" i="8"/>
  <c r="P195" i="8"/>
  <c r="O195" i="8"/>
  <c r="L195" i="8"/>
  <c r="P194" i="8"/>
  <c r="O194" i="8"/>
  <c r="L194" i="8"/>
  <c r="P193" i="8"/>
  <c r="O193" i="8"/>
  <c r="L193" i="8"/>
  <c r="P192" i="8"/>
  <c r="O192" i="8"/>
  <c r="L192" i="8"/>
  <c r="P191" i="8"/>
  <c r="O191" i="8"/>
  <c r="L191" i="8"/>
  <c r="P190" i="8"/>
  <c r="O190" i="8"/>
  <c r="L190" i="8"/>
  <c r="P189" i="8"/>
  <c r="O189" i="8"/>
  <c r="L189" i="8"/>
  <c r="P188" i="8"/>
  <c r="O188" i="8"/>
  <c r="L188" i="8"/>
  <c r="P187" i="8"/>
  <c r="O187" i="8"/>
  <c r="L187" i="8"/>
  <c r="P186" i="8"/>
  <c r="O186" i="8"/>
  <c r="L186" i="8"/>
  <c r="P185" i="8"/>
  <c r="O185" i="8"/>
  <c r="L185" i="8"/>
  <c r="P184" i="8"/>
  <c r="O184" i="8"/>
  <c r="L184" i="8"/>
  <c r="P183" i="8"/>
  <c r="O183" i="8"/>
  <c r="L183" i="8"/>
  <c r="P182" i="8"/>
  <c r="O182" i="8"/>
  <c r="L182" i="8"/>
  <c r="P181" i="8"/>
  <c r="O181" i="8"/>
  <c r="L181" i="8"/>
  <c r="P180" i="8"/>
  <c r="O180" i="8"/>
  <c r="L180" i="8"/>
  <c r="P179" i="8"/>
  <c r="O179" i="8"/>
  <c r="L179" i="8"/>
  <c r="P178" i="8"/>
  <c r="O178" i="8"/>
  <c r="L178" i="8"/>
  <c r="P177" i="8"/>
  <c r="O177" i="8"/>
  <c r="L177" i="8"/>
  <c r="P176" i="8"/>
  <c r="O176" i="8"/>
  <c r="L176" i="8"/>
  <c r="P175" i="8"/>
  <c r="O175" i="8"/>
  <c r="L175" i="8"/>
  <c r="P174" i="8"/>
  <c r="O174" i="8"/>
  <c r="L174" i="8"/>
  <c r="P173" i="8"/>
  <c r="O173" i="8"/>
  <c r="L173" i="8"/>
  <c r="P172" i="8"/>
  <c r="O172" i="8"/>
  <c r="L172" i="8"/>
  <c r="P171" i="8"/>
  <c r="O171" i="8"/>
  <c r="L171" i="8"/>
  <c r="P170" i="8"/>
  <c r="O170" i="8"/>
  <c r="L170" i="8"/>
  <c r="P169" i="8"/>
  <c r="O169" i="8"/>
  <c r="L169" i="8"/>
  <c r="P168" i="8"/>
  <c r="O168" i="8"/>
  <c r="L168" i="8"/>
  <c r="P167" i="8"/>
  <c r="O167" i="8"/>
  <c r="L167" i="8"/>
  <c r="P166" i="8"/>
  <c r="O166" i="8"/>
  <c r="L166" i="8"/>
  <c r="P165" i="8"/>
  <c r="O165" i="8"/>
  <c r="L165" i="8"/>
  <c r="P164" i="8"/>
  <c r="O164" i="8"/>
  <c r="L164" i="8"/>
  <c r="P163" i="8"/>
  <c r="O163" i="8"/>
  <c r="L163" i="8"/>
  <c r="P162" i="8"/>
  <c r="O162" i="8"/>
  <c r="L162" i="8"/>
  <c r="P161" i="8"/>
  <c r="O161" i="8"/>
  <c r="L161" i="8"/>
  <c r="P160" i="8"/>
  <c r="O160" i="8"/>
  <c r="L160" i="8"/>
  <c r="P159" i="8"/>
  <c r="O159" i="8"/>
  <c r="L159" i="8"/>
  <c r="P158" i="8"/>
  <c r="O158" i="8"/>
  <c r="L158" i="8"/>
  <c r="P157" i="8"/>
  <c r="O157" i="8"/>
  <c r="L157" i="8"/>
  <c r="P156" i="8"/>
  <c r="O156" i="8"/>
  <c r="L156" i="8"/>
  <c r="P155" i="8"/>
  <c r="O155" i="8"/>
  <c r="L155" i="8"/>
  <c r="P154" i="8"/>
  <c r="O154" i="8"/>
  <c r="L154" i="8"/>
  <c r="P153" i="8"/>
  <c r="O153" i="8"/>
  <c r="L153" i="8"/>
  <c r="P152" i="8"/>
  <c r="O152" i="8"/>
  <c r="L152" i="8"/>
  <c r="P151" i="8"/>
  <c r="O151" i="8"/>
  <c r="L151" i="8"/>
  <c r="P150" i="8"/>
  <c r="O150" i="8"/>
  <c r="L150" i="8"/>
  <c r="P149" i="8"/>
  <c r="O149" i="8"/>
  <c r="L149" i="8"/>
  <c r="P148" i="8"/>
  <c r="O148" i="8"/>
  <c r="L148" i="8"/>
  <c r="P147" i="8"/>
  <c r="O147" i="8"/>
  <c r="L147" i="8"/>
  <c r="P146" i="8"/>
  <c r="O146" i="8"/>
  <c r="L146" i="8"/>
  <c r="P145" i="8"/>
  <c r="O145" i="8"/>
  <c r="L145" i="8"/>
  <c r="P144" i="8"/>
  <c r="O144" i="8"/>
  <c r="L144" i="8"/>
  <c r="P143" i="8"/>
  <c r="O143" i="8"/>
  <c r="L143" i="8"/>
  <c r="P142" i="8"/>
  <c r="O142" i="8"/>
  <c r="L142" i="8"/>
  <c r="P141" i="8"/>
  <c r="O141" i="8"/>
  <c r="L141" i="8"/>
  <c r="P140" i="8"/>
  <c r="O140" i="8"/>
  <c r="L140" i="8"/>
  <c r="P139" i="8"/>
  <c r="O139" i="8"/>
  <c r="L139" i="8"/>
  <c r="P138" i="8"/>
  <c r="O138" i="8"/>
  <c r="L138" i="8"/>
  <c r="P137" i="8"/>
  <c r="O137" i="8"/>
  <c r="L137" i="8"/>
  <c r="P136" i="8"/>
  <c r="O136" i="8"/>
  <c r="L136" i="8"/>
  <c r="P135" i="8"/>
  <c r="O135" i="8"/>
  <c r="L135" i="8"/>
  <c r="P134" i="8"/>
  <c r="O134" i="8"/>
  <c r="L134" i="8"/>
  <c r="P133" i="8"/>
  <c r="O133" i="8"/>
  <c r="L133" i="8"/>
  <c r="P132" i="8"/>
  <c r="O132" i="8"/>
  <c r="L132" i="8"/>
  <c r="P131" i="8"/>
  <c r="O131" i="8"/>
  <c r="L131" i="8"/>
  <c r="P130" i="8"/>
  <c r="O130" i="8"/>
  <c r="L130" i="8"/>
  <c r="P129" i="8"/>
  <c r="O129" i="8"/>
  <c r="L129" i="8"/>
  <c r="P128" i="8"/>
  <c r="O128" i="8"/>
  <c r="L128" i="8"/>
  <c r="P127" i="8"/>
  <c r="O127" i="8"/>
  <c r="L127" i="8"/>
  <c r="P126" i="8"/>
  <c r="O126" i="8"/>
  <c r="L126" i="8"/>
  <c r="P125" i="8"/>
  <c r="O125" i="8"/>
  <c r="L125" i="8"/>
  <c r="P124" i="8"/>
  <c r="O124" i="8"/>
  <c r="L124" i="8"/>
  <c r="P123" i="8"/>
  <c r="O123" i="8"/>
  <c r="L123" i="8"/>
  <c r="P122" i="8"/>
  <c r="O122" i="8"/>
  <c r="L122" i="8"/>
  <c r="P121" i="8"/>
  <c r="O121" i="8"/>
  <c r="L121" i="8"/>
  <c r="P120" i="8"/>
  <c r="O120" i="8"/>
  <c r="L120" i="8"/>
  <c r="P119" i="8"/>
  <c r="O119" i="8"/>
  <c r="L119" i="8"/>
  <c r="P118" i="8"/>
  <c r="O118" i="8"/>
  <c r="L118" i="8"/>
  <c r="P117" i="8"/>
  <c r="O117" i="8"/>
  <c r="L117" i="8"/>
  <c r="P116" i="8"/>
  <c r="O116" i="8"/>
  <c r="L116" i="8"/>
  <c r="P115" i="8"/>
  <c r="O115" i="8"/>
  <c r="L115" i="8"/>
  <c r="P114" i="8"/>
  <c r="O114" i="8"/>
  <c r="L114" i="8"/>
  <c r="P113" i="8"/>
  <c r="O113" i="8"/>
  <c r="L113" i="8"/>
  <c r="P112" i="8"/>
  <c r="O112" i="8"/>
  <c r="L112" i="8"/>
  <c r="P111" i="8"/>
  <c r="O111" i="8"/>
  <c r="L111" i="8"/>
  <c r="P110" i="8"/>
  <c r="O110" i="8"/>
  <c r="L110" i="8"/>
  <c r="P109" i="8"/>
  <c r="O109" i="8"/>
  <c r="L109" i="8"/>
  <c r="P108" i="8"/>
  <c r="O108" i="8"/>
  <c r="L108" i="8"/>
  <c r="P107" i="8"/>
  <c r="O107" i="8"/>
  <c r="L107" i="8"/>
  <c r="P106" i="8"/>
  <c r="O106" i="8"/>
  <c r="L106" i="8"/>
  <c r="P105" i="8"/>
  <c r="O105" i="8"/>
  <c r="L105" i="8"/>
  <c r="P104" i="8"/>
  <c r="O104" i="8"/>
  <c r="L104" i="8"/>
  <c r="P103" i="8"/>
  <c r="O103" i="8"/>
  <c r="L103" i="8"/>
  <c r="P102" i="8"/>
  <c r="O102" i="8"/>
  <c r="L102" i="8"/>
  <c r="P101" i="8"/>
  <c r="O101" i="8"/>
  <c r="L101" i="8"/>
  <c r="P100" i="8"/>
  <c r="O100" i="8"/>
  <c r="L100" i="8"/>
  <c r="P99" i="8"/>
  <c r="O99" i="8"/>
  <c r="L99" i="8"/>
  <c r="P98" i="8"/>
  <c r="O98" i="8"/>
  <c r="L98" i="8"/>
  <c r="P97" i="8"/>
  <c r="O97" i="8"/>
  <c r="L97" i="8"/>
  <c r="P96" i="8"/>
  <c r="O96" i="8"/>
  <c r="L96" i="8"/>
  <c r="P95" i="8"/>
  <c r="O95" i="8"/>
  <c r="L95" i="8"/>
  <c r="P94" i="8"/>
  <c r="O94" i="8"/>
  <c r="L94" i="8"/>
  <c r="P93" i="8"/>
  <c r="O93" i="8"/>
  <c r="L93" i="8"/>
  <c r="P92" i="8"/>
  <c r="O92" i="8"/>
  <c r="L92" i="8"/>
  <c r="P91" i="8"/>
  <c r="O91" i="8"/>
  <c r="L91" i="8"/>
  <c r="P90" i="8"/>
  <c r="O90" i="8"/>
  <c r="L90" i="8"/>
  <c r="P89" i="8"/>
  <c r="O89" i="8"/>
  <c r="L89" i="8"/>
  <c r="P88" i="8"/>
  <c r="O88" i="8"/>
  <c r="L88" i="8"/>
  <c r="P87" i="8"/>
  <c r="O87" i="8"/>
  <c r="L87" i="8"/>
  <c r="P86" i="8"/>
  <c r="O86" i="8"/>
  <c r="L86" i="8"/>
  <c r="P85" i="8"/>
  <c r="O85" i="8"/>
  <c r="L85" i="8"/>
  <c r="P84" i="8"/>
  <c r="O84" i="8"/>
  <c r="L84" i="8"/>
  <c r="P83" i="8"/>
  <c r="O83" i="8"/>
  <c r="L83" i="8"/>
  <c r="P82" i="8"/>
  <c r="O82" i="8"/>
  <c r="L82" i="8"/>
  <c r="P81" i="8"/>
  <c r="O81" i="8"/>
  <c r="L81" i="8"/>
  <c r="P80" i="8"/>
  <c r="O80" i="8"/>
  <c r="L80" i="8"/>
  <c r="P79" i="8"/>
  <c r="O79" i="8"/>
  <c r="L79" i="8"/>
  <c r="P78" i="8"/>
  <c r="O78" i="8"/>
  <c r="L78" i="8"/>
  <c r="P77" i="8"/>
  <c r="O77" i="8"/>
  <c r="L77" i="8"/>
  <c r="P76" i="8"/>
  <c r="O76" i="8"/>
  <c r="L76" i="8"/>
  <c r="P75" i="8"/>
  <c r="O75" i="8"/>
  <c r="L75" i="8"/>
  <c r="P74" i="8"/>
  <c r="O74" i="8"/>
  <c r="L74" i="8"/>
  <c r="P73" i="8"/>
  <c r="O73" i="8"/>
  <c r="L73" i="8"/>
  <c r="P72" i="8"/>
  <c r="O72" i="8"/>
  <c r="L72" i="8"/>
  <c r="P71" i="8"/>
  <c r="O71" i="8"/>
  <c r="L71" i="8"/>
  <c r="P70" i="8"/>
  <c r="O70" i="8"/>
  <c r="L70" i="8"/>
  <c r="P69" i="8"/>
  <c r="O69" i="8"/>
  <c r="L69" i="8"/>
  <c r="P68" i="8"/>
  <c r="O68" i="8"/>
  <c r="L68" i="8"/>
  <c r="P67" i="8"/>
  <c r="O67" i="8"/>
  <c r="L67" i="8"/>
  <c r="P66" i="8"/>
  <c r="O66" i="8"/>
  <c r="L66" i="8"/>
  <c r="P65" i="8"/>
  <c r="O65" i="8"/>
  <c r="L65" i="8"/>
  <c r="P64" i="8"/>
  <c r="O64" i="8"/>
  <c r="L64" i="8"/>
  <c r="P63" i="8"/>
  <c r="O63" i="8"/>
  <c r="L63" i="8"/>
  <c r="P62" i="8"/>
  <c r="O62" i="8"/>
  <c r="L62" i="8"/>
  <c r="P61" i="8"/>
  <c r="O61" i="8"/>
  <c r="L61" i="8"/>
  <c r="P60" i="8"/>
  <c r="O60" i="8"/>
  <c r="L60" i="8"/>
  <c r="P59" i="8"/>
  <c r="O59" i="8"/>
  <c r="L59" i="8"/>
  <c r="P58" i="8"/>
  <c r="O58" i="8"/>
  <c r="L58" i="8"/>
  <c r="P57" i="8"/>
  <c r="O57" i="8"/>
  <c r="L57" i="8"/>
  <c r="P56" i="8"/>
  <c r="O56" i="8"/>
  <c r="L56" i="8"/>
  <c r="P55" i="8"/>
  <c r="O55" i="8"/>
  <c r="L55" i="8"/>
  <c r="P54" i="8"/>
  <c r="O54" i="8"/>
  <c r="L54" i="8"/>
  <c r="P53" i="8"/>
  <c r="O53" i="8"/>
  <c r="L53" i="8"/>
  <c r="P52" i="8"/>
  <c r="O52" i="8"/>
  <c r="L52" i="8"/>
  <c r="P51" i="8"/>
  <c r="O51" i="8"/>
  <c r="L51" i="8"/>
  <c r="P50" i="8"/>
  <c r="O50" i="8"/>
  <c r="L50" i="8"/>
  <c r="P49" i="8"/>
  <c r="O49" i="8"/>
  <c r="L49" i="8"/>
  <c r="P48" i="8"/>
  <c r="O48" i="8"/>
  <c r="L48" i="8"/>
  <c r="P47" i="8"/>
  <c r="O47" i="8"/>
  <c r="L47" i="8"/>
  <c r="P46" i="8"/>
  <c r="O46" i="8"/>
  <c r="L46" i="8"/>
  <c r="P45" i="8"/>
  <c r="O45" i="8"/>
  <c r="L45" i="8"/>
  <c r="P44" i="8"/>
  <c r="O44" i="8"/>
  <c r="L44" i="8"/>
  <c r="P43" i="8"/>
  <c r="O43" i="8"/>
  <c r="L43" i="8"/>
  <c r="P42" i="8"/>
  <c r="O42" i="8"/>
  <c r="L42" i="8"/>
  <c r="P41" i="8"/>
  <c r="O41" i="8"/>
  <c r="L41" i="8"/>
  <c r="P40" i="8"/>
  <c r="O40" i="8"/>
  <c r="L40" i="8"/>
  <c r="P39" i="8"/>
  <c r="O39" i="8"/>
  <c r="L39" i="8"/>
  <c r="P38" i="8"/>
  <c r="O38" i="8"/>
  <c r="L38" i="8"/>
  <c r="P37" i="8"/>
  <c r="O37" i="8"/>
  <c r="L37" i="8"/>
  <c r="P36" i="8"/>
  <c r="O36" i="8"/>
  <c r="L36" i="8"/>
  <c r="P35" i="8"/>
  <c r="O35" i="8"/>
  <c r="L35" i="8"/>
  <c r="P34" i="8"/>
  <c r="O34" i="8"/>
  <c r="L34" i="8"/>
  <c r="P33" i="8"/>
  <c r="O33" i="8"/>
  <c r="L33" i="8"/>
  <c r="P32" i="8"/>
  <c r="O32" i="8"/>
  <c r="L32" i="8"/>
  <c r="P31" i="8"/>
  <c r="O31" i="8"/>
  <c r="L31" i="8"/>
  <c r="P30" i="8"/>
  <c r="O30" i="8"/>
  <c r="L30" i="8"/>
  <c r="P29" i="8"/>
  <c r="O29" i="8"/>
  <c r="L29" i="8"/>
  <c r="P28" i="8"/>
  <c r="O28" i="8"/>
  <c r="L28" i="8"/>
  <c r="P27" i="8"/>
  <c r="O27" i="8"/>
  <c r="L27" i="8"/>
  <c r="P26" i="8"/>
  <c r="O26" i="8"/>
  <c r="L26" i="8"/>
  <c r="P25" i="8"/>
  <c r="O25" i="8"/>
  <c r="L25" i="8"/>
  <c r="P24" i="8"/>
  <c r="O24" i="8"/>
  <c r="L24" i="8"/>
  <c r="P23" i="8"/>
  <c r="O23" i="8"/>
  <c r="L23" i="8"/>
  <c r="P22" i="8"/>
  <c r="O22" i="8"/>
  <c r="L22" i="8"/>
  <c r="P21" i="8"/>
  <c r="O21" i="8"/>
  <c r="L21" i="8"/>
  <c r="P20" i="8"/>
  <c r="O20" i="8"/>
  <c r="L20" i="8"/>
  <c r="P19" i="8"/>
  <c r="O19" i="8"/>
  <c r="L19" i="8"/>
  <c r="P18" i="8"/>
  <c r="O18" i="8"/>
  <c r="L18" i="8"/>
  <c r="P17" i="8"/>
  <c r="O17" i="8"/>
  <c r="L17" i="8"/>
  <c r="P16" i="8"/>
  <c r="O16" i="8"/>
  <c r="L16" i="8"/>
  <c r="P15" i="8"/>
  <c r="O15" i="8"/>
  <c r="L15" i="8"/>
  <c r="P14" i="8"/>
  <c r="O14" i="8"/>
  <c r="L14" i="8"/>
  <c r="P13" i="8"/>
  <c r="O13" i="8"/>
  <c r="L13" i="8"/>
  <c r="P12" i="8"/>
  <c r="O12" i="8"/>
  <c r="L12" i="8"/>
  <c r="P11" i="8"/>
  <c r="O11" i="8"/>
  <c r="L11" i="8"/>
  <c r="P10" i="8"/>
  <c r="O10" i="8"/>
  <c r="L10" i="8"/>
  <c r="P9" i="8"/>
  <c r="O9" i="8"/>
  <c r="L9" i="8"/>
  <c r="P8" i="8"/>
  <c r="O8" i="8"/>
  <c r="L8" i="8"/>
  <c r="P7" i="8"/>
  <c r="O7" i="8"/>
  <c r="L7" i="8"/>
  <c r="P6" i="8"/>
  <c r="O6" i="8"/>
  <c r="L6" i="8"/>
  <c r="O5" i="8"/>
  <c r="P5" i="8" s="1"/>
  <c r="L5" i="8"/>
  <c r="AD200" i="5"/>
  <c r="AF200" i="5" s="1"/>
  <c r="AF199" i="5"/>
  <c r="AD199" i="5"/>
  <c r="AE199" i="5" s="1"/>
  <c r="AF198" i="5"/>
  <c r="AE198" i="5"/>
  <c r="AD198" i="5"/>
  <c r="AD197" i="5"/>
  <c r="AF197" i="5" s="1"/>
  <c r="AE196" i="5"/>
  <c r="AD196" i="5"/>
  <c r="AF196" i="5" s="1"/>
  <c r="AD195" i="5"/>
  <c r="AE195" i="5" s="1"/>
  <c r="AF194" i="5"/>
  <c r="AE194" i="5"/>
  <c r="AD194" i="5"/>
  <c r="AF193" i="5"/>
  <c r="AE193" i="5"/>
  <c r="AD193" i="5"/>
  <c r="AD192" i="5"/>
  <c r="AF192" i="5" s="1"/>
  <c r="AF191" i="5"/>
  <c r="AD191" i="5"/>
  <c r="AE191" i="5" s="1"/>
  <c r="AF190" i="5"/>
  <c r="AE190" i="5"/>
  <c r="AD190" i="5"/>
  <c r="AD189" i="5"/>
  <c r="AF189" i="5" s="1"/>
  <c r="AE188" i="5"/>
  <c r="AD188" i="5"/>
  <c r="AF188" i="5" s="1"/>
  <c r="AD187" i="5"/>
  <c r="AE187" i="5" s="1"/>
  <c r="AF186" i="5"/>
  <c r="AE186" i="5"/>
  <c r="AD186" i="5"/>
  <c r="AF185" i="5"/>
  <c r="AE185" i="5"/>
  <c r="AD185" i="5"/>
  <c r="AD184" i="5"/>
  <c r="AF184" i="5" s="1"/>
  <c r="AF183" i="5"/>
  <c r="AD183" i="5"/>
  <c r="AE183" i="5" s="1"/>
  <c r="AF182" i="5"/>
  <c r="AE182" i="5"/>
  <c r="AD182" i="5"/>
  <c r="AD181" i="5"/>
  <c r="AF181" i="5" s="1"/>
  <c r="AE180" i="5"/>
  <c r="AD180" i="5"/>
  <c r="AF180" i="5" s="1"/>
  <c r="AD179" i="5"/>
  <c r="AE179" i="5" s="1"/>
  <c r="AF178" i="5"/>
  <c r="AE178" i="5"/>
  <c r="AD178" i="5"/>
  <c r="AF177" i="5"/>
  <c r="AE177" i="5"/>
  <c r="AD177" i="5"/>
  <c r="AD176" i="5"/>
  <c r="AF176" i="5" s="1"/>
  <c r="AF175" i="5"/>
  <c r="AD175" i="5"/>
  <c r="AE175" i="5" s="1"/>
  <c r="AF174" i="5"/>
  <c r="AE174" i="5"/>
  <c r="AD174" i="5"/>
  <c r="AD173" i="5"/>
  <c r="AF173" i="5" s="1"/>
  <c r="AE172" i="5"/>
  <c r="AD172" i="5"/>
  <c r="AF172" i="5" s="1"/>
  <c r="AD171" i="5"/>
  <c r="AE171" i="5" s="1"/>
  <c r="AF170" i="5"/>
  <c r="AE170" i="5"/>
  <c r="AD170" i="5"/>
  <c r="AF169" i="5"/>
  <c r="AE169" i="5"/>
  <c r="AD169" i="5"/>
  <c r="AD168" i="5"/>
  <c r="AF168" i="5" s="1"/>
  <c r="AF167" i="5"/>
  <c r="AD167" i="5"/>
  <c r="AE167" i="5" s="1"/>
  <c r="AF166" i="5"/>
  <c r="AE166" i="5"/>
  <c r="AD166" i="5"/>
  <c r="AD165" i="5"/>
  <c r="AF165" i="5" s="1"/>
  <c r="AE164" i="5"/>
  <c r="AD164" i="5"/>
  <c r="AF164" i="5" s="1"/>
  <c r="AD163" i="5"/>
  <c r="AE163" i="5" s="1"/>
  <c r="AF162" i="5"/>
  <c r="AE162" i="5"/>
  <c r="AD162" i="5"/>
  <c r="AF161" i="5"/>
  <c r="AE161" i="5"/>
  <c r="AD161" i="5"/>
  <c r="AD160" i="5"/>
  <c r="AF160" i="5" s="1"/>
  <c r="AF159" i="5"/>
  <c r="AD159" i="5"/>
  <c r="AE159" i="5" s="1"/>
  <c r="AF158" i="5"/>
  <c r="AE158" i="5"/>
  <c r="AD158" i="5"/>
  <c r="AD157" i="5"/>
  <c r="AF157" i="5" s="1"/>
  <c r="AE156" i="5"/>
  <c r="AD156" i="5"/>
  <c r="AF156" i="5" s="1"/>
  <c r="AD155" i="5"/>
  <c r="AE155" i="5" s="1"/>
  <c r="AF154" i="5"/>
  <c r="AE154" i="5"/>
  <c r="AD154" i="5"/>
  <c r="AF153" i="5"/>
  <c r="AE153" i="5"/>
  <c r="AD153" i="5"/>
  <c r="AD152" i="5"/>
  <c r="AF152" i="5" s="1"/>
  <c r="AF151" i="5"/>
  <c r="AD151" i="5"/>
  <c r="AE151" i="5" s="1"/>
  <c r="AF150" i="5"/>
  <c r="AE150" i="5"/>
  <c r="AD150" i="5"/>
  <c r="AD149" i="5"/>
  <c r="AF149" i="5" s="1"/>
  <c r="AE148" i="5"/>
  <c r="AD148" i="5"/>
  <c r="AF148" i="5" s="1"/>
  <c r="AD147" i="5"/>
  <c r="AE147" i="5" s="1"/>
  <c r="AF146" i="5"/>
  <c r="AE146" i="5"/>
  <c r="AD146" i="5"/>
  <c r="AF145" i="5"/>
  <c r="AE145" i="5"/>
  <c r="AD145" i="5"/>
  <c r="AD144" i="5"/>
  <c r="AF144" i="5" s="1"/>
  <c r="AF143" i="5"/>
  <c r="AD143" i="5"/>
  <c r="AE143" i="5" s="1"/>
  <c r="AF142" i="5"/>
  <c r="AE142" i="5"/>
  <c r="AD142" i="5"/>
  <c r="AD141" i="5"/>
  <c r="AF141" i="5" s="1"/>
  <c r="AE140" i="5"/>
  <c r="AD140" i="5"/>
  <c r="AF140" i="5" s="1"/>
  <c r="AD139" i="5"/>
  <c r="AE139" i="5" s="1"/>
  <c r="AF138" i="5"/>
  <c r="AE138" i="5"/>
  <c r="AD138" i="5"/>
  <c r="AF137" i="5"/>
  <c r="AE137" i="5"/>
  <c r="AD137" i="5"/>
  <c r="AD136" i="5"/>
  <c r="AF136" i="5" s="1"/>
  <c r="AF135" i="5"/>
  <c r="AD135" i="5"/>
  <c r="AE135" i="5" s="1"/>
  <c r="AF134" i="5"/>
  <c r="AE134" i="5"/>
  <c r="AD134" i="5"/>
  <c r="AD133" i="5"/>
  <c r="AF133" i="5" s="1"/>
  <c r="AE132" i="5"/>
  <c r="AD132" i="5"/>
  <c r="AF132" i="5" s="1"/>
  <c r="AD131" i="5"/>
  <c r="AE131" i="5" s="1"/>
  <c r="AF130" i="5"/>
  <c r="AE130" i="5"/>
  <c r="AD130" i="5"/>
  <c r="AF129" i="5"/>
  <c r="AE129" i="5"/>
  <c r="AD129" i="5"/>
  <c r="AD128" i="5"/>
  <c r="AF128" i="5" s="1"/>
  <c r="AF127" i="5"/>
  <c r="AD127" i="5"/>
  <c r="AE127" i="5" s="1"/>
  <c r="AF126" i="5"/>
  <c r="AE126" i="5"/>
  <c r="AD126" i="5"/>
  <c r="AD125" i="5"/>
  <c r="AF125" i="5" s="1"/>
  <c r="AE124" i="5"/>
  <c r="AD124" i="5"/>
  <c r="AF124" i="5" s="1"/>
  <c r="AD123" i="5"/>
  <c r="AE123" i="5" s="1"/>
  <c r="AF122" i="5"/>
  <c r="AE122" i="5"/>
  <c r="AD122" i="5"/>
  <c r="AF121" i="5"/>
  <c r="AE121" i="5"/>
  <c r="AD121" i="5"/>
  <c r="AD120" i="5"/>
  <c r="AF120" i="5" s="1"/>
  <c r="AF119" i="5"/>
  <c r="AD119" i="5"/>
  <c r="AE119" i="5" s="1"/>
  <c r="AF118" i="5"/>
  <c r="AE118" i="5"/>
  <c r="AD118" i="5"/>
  <c r="AD117" i="5"/>
  <c r="AF117" i="5" s="1"/>
  <c r="AE116" i="5"/>
  <c r="AD116" i="5"/>
  <c r="AF116" i="5" s="1"/>
  <c r="AD115" i="5"/>
  <c r="AE115" i="5" s="1"/>
  <c r="AF114" i="5"/>
  <c r="AE114" i="5"/>
  <c r="AD114" i="5"/>
  <c r="AF113" i="5"/>
  <c r="AE113" i="5"/>
  <c r="AD113" i="5"/>
  <c r="AD112" i="5"/>
  <c r="AF112" i="5" s="1"/>
  <c r="AF111" i="5"/>
  <c r="AD111" i="5"/>
  <c r="AE111" i="5" s="1"/>
  <c r="AF110" i="5"/>
  <c r="AE110" i="5"/>
  <c r="AD110" i="5"/>
  <c r="AD109" i="5"/>
  <c r="AF109" i="5" s="1"/>
  <c r="AE108" i="5"/>
  <c r="AD108" i="5"/>
  <c r="AF108" i="5" s="1"/>
  <c r="AD107" i="5"/>
  <c r="AE107" i="5" s="1"/>
  <c r="AF106" i="5"/>
  <c r="AE106" i="5"/>
  <c r="AD106" i="5"/>
  <c r="AF105" i="5"/>
  <c r="AE105" i="5"/>
  <c r="AD105" i="5"/>
  <c r="AD104" i="5"/>
  <c r="AF104" i="5" s="1"/>
  <c r="AF103" i="5"/>
  <c r="AD103" i="5"/>
  <c r="AE103" i="5" s="1"/>
  <c r="AF102" i="5"/>
  <c r="AE102" i="5"/>
  <c r="AD102" i="5"/>
  <c r="AD101" i="5"/>
  <c r="AF101" i="5" s="1"/>
  <c r="AE100" i="5"/>
  <c r="AD100" i="5"/>
  <c r="AF100" i="5" s="1"/>
  <c r="AD99" i="5"/>
  <c r="AE99" i="5" s="1"/>
  <c r="AF98" i="5"/>
  <c r="AE98" i="5"/>
  <c r="AD98" i="5"/>
  <c r="AF97" i="5"/>
  <c r="AE97" i="5"/>
  <c r="AD97" i="5"/>
  <c r="AD96" i="5"/>
  <c r="AF96" i="5" s="1"/>
  <c r="AF95" i="5"/>
  <c r="AD95" i="5"/>
  <c r="AE95" i="5" s="1"/>
  <c r="AF94" i="5"/>
  <c r="AE94" i="5"/>
  <c r="AD94" i="5"/>
  <c r="AD93" i="5"/>
  <c r="AF93" i="5" s="1"/>
  <c r="AE92" i="5"/>
  <c r="AD92" i="5"/>
  <c r="AF92" i="5" s="1"/>
  <c r="AD91" i="5"/>
  <c r="AE91" i="5" s="1"/>
  <c r="AF90" i="5"/>
  <c r="AE90" i="5"/>
  <c r="AD90" i="5"/>
  <c r="AF89" i="5"/>
  <c r="AE89" i="5"/>
  <c r="AD89" i="5"/>
  <c r="AD88" i="5"/>
  <c r="AF88" i="5" s="1"/>
  <c r="AF87" i="5"/>
  <c r="AD87" i="5"/>
  <c r="AE87" i="5" s="1"/>
  <c r="AF86" i="5"/>
  <c r="AE86" i="5"/>
  <c r="AD86" i="5"/>
  <c r="AD85" i="5"/>
  <c r="AF85" i="5" s="1"/>
  <c r="AE84" i="5"/>
  <c r="AD84" i="5"/>
  <c r="AF84" i="5" s="1"/>
  <c r="AD83" i="5"/>
  <c r="AE83" i="5" s="1"/>
  <c r="AF82" i="5"/>
  <c r="AE82" i="5"/>
  <c r="AD82" i="5"/>
  <c r="AF81" i="5"/>
  <c r="AE81" i="5"/>
  <c r="AD81" i="5"/>
  <c r="AD80" i="5"/>
  <c r="AF80" i="5" s="1"/>
  <c r="AF79" i="5"/>
  <c r="AD79" i="5"/>
  <c r="AE79" i="5" s="1"/>
  <c r="AF78" i="5"/>
  <c r="AE78" i="5"/>
  <c r="AD78" i="5"/>
  <c r="AD77" i="5"/>
  <c r="AF77" i="5" s="1"/>
  <c r="AE76" i="5"/>
  <c r="AD76" i="5"/>
  <c r="AF76" i="5" s="1"/>
  <c r="AD75" i="5"/>
  <c r="AE75" i="5" s="1"/>
  <c r="AF74" i="5"/>
  <c r="AE74" i="5"/>
  <c r="AD74" i="5"/>
  <c r="AF73" i="5"/>
  <c r="AE73" i="5"/>
  <c r="AD73" i="5"/>
  <c r="AD72" i="5"/>
  <c r="AF72" i="5" s="1"/>
  <c r="AF71" i="5"/>
  <c r="AD71" i="5"/>
  <c r="AE71" i="5" s="1"/>
  <c r="AF70" i="5"/>
  <c r="AE70" i="5"/>
  <c r="AD70" i="5"/>
  <c r="AD69" i="5"/>
  <c r="AF69" i="5" s="1"/>
  <c r="AE68" i="5"/>
  <c r="AD68" i="5"/>
  <c r="AF68" i="5" s="1"/>
  <c r="AD67" i="5"/>
  <c r="AE67" i="5" s="1"/>
  <c r="AF66" i="5"/>
  <c r="AE66" i="5"/>
  <c r="AD66" i="5"/>
  <c r="AF65" i="5"/>
  <c r="AE65" i="5"/>
  <c r="AD65" i="5"/>
  <c r="AD64" i="5"/>
  <c r="AF64" i="5" s="1"/>
  <c r="AF63" i="5"/>
  <c r="AD63" i="5"/>
  <c r="AE63" i="5" s="1"/>
  <c r="AF62" i="5"/>
  <c r="AE62" i="5"/>
  <c r="AD62" i="5"/>
  <c r="AD61" i="5"/>
  <c r="AF61" i="5" s="1"/>
  <c r="AE60" i="5"/>
  <c r="AD60" i="5"/>
  <c r="AF60" i="5" s="1"/>
  <c r="AD59" i="5"/>
  <c r="AE59" i="5" s="1"/>
  <c r="AF58" i="5"/>
  <c r="AE58" i="5"/>
  <c r="AD58" i="5"/>
  <c r="AF57" i="5"/>
  <c r="AE57" i="5"/>
  <c r="AD57" i="5"/>
  <c r="AD56" i="5"/>
  <c r="AF56" i="5" s="1"/>
  <c r="AF55" i="5"/>
  <c r="AD55" i="5"/>
  <c r="AE55" i="5" s="1"/>
  <c r="AF54" i="5"/>
  <c r="AE54" i="5"/>
  <c r="AD54" i="5"/>
  <c r="AD53" i="5"/>
  <c r="AF53" i="5" s="1"/>
  <c r="AE52" i="5"/>
  <c r="AD52" i="5"/>
  <c r="AF52" i="5" s="1"/>
  <c r="AD51" i="5"/>
  <c r="AE51" i="5" s="1"/>
  <c r="AF50" i="5"/>
  <c r="AE50" i="5"/>
  <c r="AD50" i="5"/>
  <c r="AF49" i="5"/>
  <c r="AE49" i="5"/>
  <c r="AD49" i="5"/>
  <c r="AD48" i="5"/>
  <c r="AF48" i="5" s="1"/>
  <c r="AD47" i="5"/>
  <c r="AF47" i="5" s="1"/>
  <c r="AF46" i="5"/>
  <c r="AE46" i="5"/>
  <c r="AD46" i="5"/>
  <c r="AF45" i="5"/>
  <c r="AE45" i="5"/>
  <c r="AD45" i="5"/>
  <c r="AD44" i="5"/>
  <c r="AF44" i="5" s="1"/>
  <c r="AD43" i="5"/>
  <c r="AF43" i="5" s="1"/>
  <c r="AF42" i="5"/>
  <c r="AE42" i="5"/>
  <c r="AD42" i="5"/>
  <c r="AF41" i="5"/>
  <c r="AE41" i="5"/>
  <c r="AD41" i="5"/>
  <c r="AD40" i="5"/>
  <c r="AF40" i="5" s="1"/>
  <c r="AD39" i="5"/>
  <c r="AF39" i="5" s="1"/>
  <c r="AF38" i="5"/>
  <c r="AE38" i="5"/>
  <c r="AD38" i="5"/>
  <c r="AF37" i="5"/>
  <c r="AE37" i="5"/>
  <c r="AD37" i="5"/>
  <c r="AD36" i="5"/>
  <c r="AF36" i="5" s="1"/>
  <c r="AD35" i="5"/>
  <c r="AF35" i="5" s="1"/>
  <c r="AF34" i="5"/>
  <c r="AE34" i="5"/>
  <c r="AD34" i="5"/>
  <c r="AF33" i="5"/>
  <c r="AE33" i="5"/>
  <c r="AD33" i="5"/>
  <c r="AD32" i="5"/>
  <c r="AF32" i="5" s="1"/>
  <c r="AD31" i="5"/>
  <c r="AF31" i="5" s="1"/>
  <c r="AF30" i="5"/>
  <c r="AE30" i="5"/>
  <c r="AD30" i="5"/>
  <c r="AF29" i="5"/>
  <c r="AE29" i="5"/>
  <c r="AD29" i="5"/>
  <c r="AD28" i="5"/>
  <c r="AF28" i="5" s="1"/>
  <c r="AD27" i="5"/>
  <c r="AF27" i="5" s="1"/>
  <c r="AF26" i="5"/>
  <c r="AE26" i="5"/>
  <c r="AD26" i="5"/>
  <c r="AF25" i="5"/>
  <c r="AE25" i="5"/>
  <c r="AD25" i="5"/>
  <c r="AD24" i="5"/>
  <c r="AF24" i="5" s="1"/>
  <c r="AD23" i="5"/>
  <c r="AF23" i="5" s="1"/>
  <c r="AF22" i="5"/>
  <c r="AE22" i="5"/>
  <c r="AD22" i="5"/>
  <c r="AF21" i="5"/>
  <c r="AE21" i="5"/>
  <c r="AD21" i="5"/>
  <c r="AD20" i="5"/>
  <c r="AF20" i="5" s="1"/>
  <c r="AD19" i="5"/>
  <c r="AF19" i="5" s="1"/>
  <c r="AF18" i="5"/>
  <c r="AE18" i="5"/>
  <c r="AD18" i="5"/>
  <c r="AF17" i="5"/>
  <c r="AE17" i="5"/>
  <c r="AD17" i="5"/>
  <c r="AD16" i="5"/>
  <c r="AF16" i="5" s="1"/>
  <c r="AD15" i="5"/>
  <c r="AF15" i="5" s="1"/>
  <c r="AF14" i="5"/>
  <c r="AE14" i="5"/>
  <c r="AD14" i="5"/>
  <c r="AF13" i="5"/>
  <c r="AE13" i="5"/>
  <c r="AD13" i="5"/>
  <c r="AD12" i="5"/>
  <c r="AF12" i="5" s="1"/>
  <c r="AD11" i="5"/>
  <c r="AF11" i="5" s="1"/>
  <c r="AF10" i="5"/>
  <c r="AE10" i="5"/>
  <c r="AD10" i="5"/>
  <c r="AD9" i="5"/>
  <c r="S8" i="16" s="1"/>
  <c r="AD8" i="5"/>
  <c r="S7" i="16" s="1"/>
  <c r="AF7" i="5"/>
  <c r="AD7" i="5"/>
  <c r="AD6" i="5"/>
  <c r="S6" i="16" s="1"/>
  <c r="AD5" i="5"/>
  <c r="S5" i="16" s="1"/>
  <c r="B13" i="2"/>
  <c r="B12" i="2"/>
  <c r="B11" i="2"/>
  <c r="B10" i="2"/>
  <c r="B9" i="2"/>
  <c r="B7" i="2"/>
  <c r="B6" i="2"/>
  <c r="B5" i="2"/>
  <c r="AE9" i="5"/>
  <c r="AE5" i="5"/>
  <c r="K8" i="17"/>
  <c r="K9" i="17"/>
  <c r="K12" i="17"/>
  <c r="AE7" i="5"/>
  <c r="AF5" i="5" l="1"/>
  <c r="AF9" i="5"/>
  <c r="AE12" i="5"/>
  <c r="AE16" i="5"/>
  <c r="AE20" i="5"/>
  <c r="AE24" i="5"/>
  <c r="AE28" i="5"/>
  <c r="AE32" i="5"/>
  <c r="AE36" i="5"/>
  <c r="AE40" i="5"/>
  <c r="AE44" i="5"/>
  <c r="AE48" i="5"/>
  <c r="J11" i="17"/>
  <c r="J7" i="17"/>
  <c r="AF8" i="5"/>
  <c r="AE11" i="5"/>
  <c r="AE15" i="5"/>
  <c r="AE19" i="5"/>
  <c r="AE23" i="5"/>
  <c r="AE27" i="5"/>
  <c r="AE31" i="5"/>
  <c r="AE35" i="5"/>
  <c r="AE39" i="5"/>
  <c r="AE43" i="5"/>
  <c r="AE47" i="5"/>
  <c r="AF51" i="5"/>
  <c r="AE53" i="5"/>
  <c r="AE56" i="5"/>
  <c r="AF59" i="5"/>
  <c r="AE61" i="5"/>
  <c r="AE64" i="5"/>
  <c r="AF67" i="5"/>
  <c r="AE69" i="5"/>
  <c r="AE72" i="5"/>
  <c r="AF75" i="5"/>
  <c r="AE77" i="5"/>
  <c r="AE80" i="5"/>
  <c r="AF83" i="5"/>
  <c r="AE85" i="5"/>
  <c r="AE88" i="5"/>
  <c r="AF91" i="5"/>
  <c r="AE93" i="5"/>
  <c r="AE96" i="5"/>
  <c r="AF99" i="5"/>
  <c r="AE101" i="5"/>
  <c r="AE104" i="5"/>
  <c r="AF107" i="5"/>
  <c r="AE109" i="5"/>
  <c r="AE112" i="5"/>
  <c r="AF115" i="5"/>
  <c r="AE117" i="5"/>
  <c r="AE120" i="5"/>
  <c r="AF123" i="5"/>
  <c r="AE125" i="5"/>
  <c r="AE128" i="5"/>
  <c r="AF131" i="5"/>
  <c r="AE133" i="5"/>
  <c r="AE136" i="5"/>
  <c r="AF139" i="5"/>
  <c r="AE141" i="5"/>
  <c r="AE144" i="5"/>
  <c r="AF147" i="5"/>
  <c r="AE149" i="5"/>
  <c r="AE152" i="5"/>
  <c r="AF155" i="5"/>
  <c r="AE157" i="5"/>
  <c r="AE160" i="5"/>
  <c r="AF163" i="5"/>
  <c r="AE165" i="5"/>
  <c r="AE168" i="5"/>
  <c r="AF171" i="5"/>
  <c r="AE173" i="5"/>
  <c r="AE176" i="5"/>
  <c r="AF179" i="5"/>
  <c r="AE181" i="5"/>
  <c r="AE184" i="5"/>
  <c r="AF187" i="5"/>
  <c r="AE189" i="5"/>
  <c r="AE192" i="5"/>
  <c r="AF195" i="5"/>
  <c r="AE197" i="5"/>
  <c r="AE200" i="5"/>
  <c r="AF6" i="5"/>
  <c r="P5" i="16"/>
  <c r="P6" i="16"/>
  <c r="R6" i="16" s="1"/>
  <c r="J10" i="17"/>
  <c r="J6" i="17"/>
  <c r="J5" i="17"/>
  <c r="K10" i="17"/>
  <c r="K6" i="17"/>
  <c r="AE6" i="5"/>
  <c r="AE8" i="5"/>
  <c r="K11" i="17"/>
  <c r="K7" i="17"/>
  <c r="K5" i="17"/>
  <c r="R5" i="16" l="1"/>
  <c r="B8" i="2"/>
  <c r="R8" i="16"/>
  <c r="R7" i="16"/>
</calcChain>
</file>

<file path=xl/sharedStrings.xml><?xml version="1.0" encoding="utf-8"?>
<sst xmlns="http://schemas.openxmlformats.org/spreadsheetml/2006/main" count="1513" uniqueCount="862">
  <si>
    <t>Offline Game Matchmaking — MVP Structure V2</t>
  </si>
  <si>
    <t>Updated with credibility score, rankings, Estimation calculator, leaderboards, venue funnel, incidents, captains, and Make operations flow.</t>
  </si>
  <si>
    <t>Section</t>
  </si>
  <si>
    <t>What This Workbook Contains</t>
  </si>
  <si>
    <t>Core idea</t>
  </si>
  <si>
    <t>Offline game matchmaking platform connecting players to other players and approved venues.</t>
  </si>
  <si>
    <t>Main rules</t>
  </si>
  <si>
    <t>No poker, no gambling, no private places, no harassment, no unapproved venues.</t>
  </si>
  <si>
    <t>Player model</t>
  </si>
  <si>
    <t>Players register through WhatsApp/form with games, preferred locations, availability, consent, and cost-splitting acceptance.</t>
  </si>
  <si>
    <t>Venue model</t>
  </si>
  <si>
    <t>Cafés/venues subscribe, sign an agreement, and become approved before receiving players.</t>
  </si>
  <si>
    <t>Automation model</t>
  </si>
  <si>
    <t>Use Make for deterministic workflows; use AI for matching suggestions, message drafting, incident triage, and reporting.</t>
  </si>
  <si>
    <t>MVP control</t>
  </si>
  <si>
    <t>Admin approval is required before match invitations are automated at scale.</t>
  </si>
  <si>
    <t>Important separation</t>
  </si>
  <si>
    <t>Credibility score = trust/reliability. Ranking score = game performance. Do not mix them.</t>
  </si>
  <si>
    <t>Offline Game Matchmaking — Dashboard V2</t>
  </si>
  <si>
    <t>Control view for launch readiness, player trust, venue supply, incidents, and automation progress.</t>
  </si>
  <si>
    <t>Metric</t>
  </si>
  <si>
    <t>Value</t>
  </si>
  <si>
    <t>Why It Matters</t>
  </si>
  <si>
    <t>MVP Funnel Stage</t>
  </si>
  <si>
    <t>Owner</t>
  </si>
  <si>
    <t>Manual Now</t>
  </si>
  <si>
    <t>Automation Later</t>
  </si>
  <si>
    <t>Done?</t>
  </si>
  <si>
    <t>Registered Players</t>
  </si>
  <si>
    <t>Player database size</t>
  </si>
  <si>
    <t>Player awareness</t>
  </si>
  <si>
    <t>Marwan</t>
  </si>
  <si>
    <t>Reels, ads, website, word of mouth</t>
  </si>
  <si>
    <t>Track source/campaign</t>
  </si>
  <si>
    <t>No</t>
  </si>
  <si>
    <t>Active Players</t>
  </si>
  <si>
    <t>Ready players</t>
  </si>
  <si>
    <t>Player registration</t>
  </si>
  <si>
    <t>Abdelrahman</t>
  </si>
  <si>
    <t>WhatsApp/Google form</t>
  </si>
  <si>
    <t>Auto-fill Players table</t>
  </si>
  <si>
    <t>Average Credibility</t>
  </si>
  <si>
    <t>Trust health</t>
  </si>
  <si>
    <t>Venue qualification</t>
  </si>
  <si>
    <t>Call/meeting + proposal</t>
  </si>
  <si>
    <t>Venue onboarding workflow</t>
  </si>
  <si>
    <t>Competition Eligible Players</t>
  </si>
  <si>
    <t>Ready for competitions</t>
  </si>
  <si>
    <t>Matching</t>
  </si>
  <si>
    <t>Both</t>
  </si>
  <si>
    <t>Filter manually by game/location/time/cost</t>
  </si>
  <si>
    <t>AI matching recommendation</t>
  </si>
  <si>
    <t>Open Game Requests</t>
  </si>
  <si>
    <t>Demand pipeline</t>
  </si>
  <si>
    <t>Admin approval</t>
  </si>
  <si>
    <t>Approve proposed matches</t>
  </si>
  <si>
    <t>Admin dashboard trigger</t>
  </si>
  <si>
    <t>Approved Venues</t>
  </si>
  <si>
    <t>Supply readiness</t>
  </si>
  <si>
    <t>WhatsApp invitation</t>
  </si>
  <si>
    <t>Manual test messages</t>
  </si>
  <si>
    <t>Make + WhatsApp templates</t>
  </si>
  <si>
    <t>Open Incidents</t>
  </si>
  <si>
    <t>Safety/admin workload</t>
  </si>
  <si>
    <t>Score/rating</t>
  </si>
  <si>
    <t>Form after game</t>
  </si>
  <si>
    <t>Automated post-game flow</t>
  </si>
  <si>
    <t>Public Leaderboard Rows</t>
  </si>
  <si>
    <t>Community/marketing asset</t>
  </si>
  <si>
    <t>Incidents</t>
  </si>
  <si>
    <t>Manual review</t>
  </si>
  <si>
    <t>AI triage + admin queue</t>
  </si>
  <si>
    <t>Active Venue Subscriptions</t>
  </si>
  <si>
    <t>Venue business model</t>
  </si>
  <si>
    <t>Games Catalog</t>
  </si>
  <si>
    <t>Allowed games only. No poker, no gambling, no betting.</t>
  </si>
  <si>
    <t>Game_ID</t>
  </si>
  <si>
    <t>Game</t>
  </si>
  <si>
    <t>Category</t>
  </si>
  <si>
    <t>Required Players</t>
  </si>
  <si>
    <t>Venue Type</t>
  </si>
  <si>
    <t>Ranking Mode</t>
  </si>
  <si>
    <t>Score Type</t>
  </si>
  <si>
    <t>Allowed?</t>
  </si>
  <si>
    <t>Notes</t>
  </si>
  <si>
    <t>G001</t>
  </si>
  <si>
    <t>Estimation</t>
  </si>
  <si>
    <t>Card/Social</t>
  </si>
  <si>
    <t>Café / board game café</t>
  </si>
  <si>
    <t>Individual</t>
  </si>
  <si>
    <t>Estimation calculator</t>
  </si>
  <si>
    <t>Yes</t>
  </si>
  <si>
    <t>No betting</t>
  </si>
  <si>
    <t>G002</t>
  </si>
  <si>
    <t>Tarneeb</t>
  </si>
  <si>
    <t>Team/Individual</t>
  </si>
  <si>
    <t>Manual score</t>
  </si>
  <si>
    <t>G003</t>
  </si>
  <si>
    <t>Basra</t>
  </si>
  <si>
    <t>G004</t>
  </si>
  <si>
    <t>UNO</t>
  </si>
  <si>
    <t>G005</t>
  </si>
  <si>
    <t>Chess</t>
  </si>
  <si>
    <t>Board/Mind</t>
  </si>
  <si>
    <t>Board game café / club</t>
  </si>
  <si>
    <t>Win/loss/draw</t>
  </si>
  <si>
    <t>G006</t>
  </si>
  <si>
    <t>Backgammon</t>
  </si>
  <si>
    <t>Win/loss</t>
  </si>
  <si>
    <t>G007</t>
  </si>
  <si>
    <t>Billiards</t>
  </si>
  <si>
    <t>Table Game</t>
  </si>
  <si>
    <t>Billiards hall</t>
  </si>
  <si>
    <t>G008</t>
  </si>
  <si>
    <t>FIFA 2026</t>
  </si>
  <si>
    <t>Console</t>
  </si>
  <si>
    <t>PlayStation center</t>
  </si>
  <si>
    <t>Individual/Team</t>
  </si>
  <si>
    <t>Win/loss/score</t>
  </si>
  <si>
    <t>G009</t>
  </si>
  <si>
    <t>Call of Duty</t>
  </si>
  <si>
    <t>Gaming lounge</t>
  </si>
  <si>
    <t>Team</t>
  </si>
  <si>
    <t>Match score</t>
  </si>
  <si>
    <t>G010</t>
  </si>
  <si>
    <t>League of Legends</t>
  </si>
  <si>
    <t>PC Game</t>
  </si>
  <si>
    <t>Internet café / gaming lounge</t>
  </si>
  <si>
    <t>Match result</t>
  </si>
  <si>
    <t>G011</t>
  </si>
  <si>
    <t>Valorant</t>
  </si>
  <si>
    <t>G012</t>
  </si>
  <si>
    <t>Football</t>
  </si>
  <si>
    <t>Sport</t>
  </si>
  <si>
    <t>Football court</t>
  </si>
  <si>
    <t>Score</t>
  </si>
  <si>
    <t>5v5 MVP</t>
  </si>
  <si>
    <t>G013</t>
  </si>
  <si>
    <t>Tennis</t>
  </si>
  <si>
    <t>Tennis court</t>
  </si>
  <si>
    <t>G014</t>
  </si>
  <si>
    <t>Padel</t>
  </si>
  <si>
    <t>Padel court</t>
  </si>
  <si>
    <t>G999</t>
  </si>
  <si>
    <t>Poker</t>
  </si>
  <si>
    <t>Excluded</t>
  </si>
  <si>
    <t>Not allowed</t>
  </si>
  <si>
    <t>None</t>
  </si>
  <si>
    <t>Excluded: gambling/betting risk</t>
  </si>
  <si>
    <t>Lookup Lists</t>
  </si>
  <si>
    <t>Dropdown-ready values for forms, sheets, and Make scenario filters.</t>
  </si>
  <si>
    <t>Game Category</t>
  </si>
  <si>
    <t>Player Status</t>
  </si>
  <si>
    <t>Venue Status</t>
  </si>
  <si>
    <t>Match Status</t>
  </si>
  <si>
    <t>Confirmation Status</t>
  </si>
  <si>
    <t>Incident Type</t>
  </si>
  <si>
    <t>Severity</t>
  </si>
  <si>
    <t>Subscription Tier</t>
  </si>
  <si>
    <t>Visibility</t>
  </si>
  <si>
    <t>Dispute Status</t>
  </si>
  <si>
    <t>New</t>
  </si>
  <si>
    <t>Lead</t>
  </si>
  <si>
    <t>Draft</t>
  </si>
  <si>
    <t>Pending</t>
  </si>
  <si>
    <t>No-show</t>
  </si>
  <si>
    <t>Low</t>
  </si>
  <si>
    <t>Basic</t>
  </si>
  <si>
    <t>Public</t>
  </si>
  <si>
    <t>Clean</t>
  </si>
  <si>
    <t>Active</t>
  </si>
  <si>
    <t>Qualified</t>
  </si>
  <si>
    <t>Proposed</t>
  </si>
  <si>
    <t>Accepted</t>
  </si>
  <si>
    <t>Harassment</t>
  </si>
  <si>
    <t>Medium</t>
  </si>
  <si>
    <t>Featured</t>
  </si>
  <si>
    <t>Internal</t>
  </si>
  <si>
    <t>Minor issue</t>
  </si>
  <si>
    <t>Suspended</t>
  </si>
  <si>
    <t>Proposal sent</t>
  </si>
  <si>
    <t>Waiting confirmations</t>
  </si>
  <si>
    <t>Declined</t>
  </si>
  <si>
    <t>Cheating</t>
  </si>
  <si>
    <t>High</t>
  </si>
  <si>
    <t>Competition Partner</t>
  </si>
  <si>
    <t>Hidden</t>
  </si>
  <si>
    <t>Under review</t>
  </si>
  <si>
    <t>Banned</t>
  </si>
  <si>
    <t>Contract pending</t>
  </si>
  <si>
    <t>Confirmed</t>
  </si>
  <si>
    <t>No response</t>
  </si>
  <si>
    <t>Cost dispute</t>
  </si>
  <si>
    <t>Critical</t>
  </si>
  <si>
    <t>Sponsor</t>
  </si>
  <si>
    <t>Internal/Public</t>
  </si>
  <si>
    <t>Disputed</t>
  </si>
  <si>
    <t>Inactive</t>
  </si>
  <si>
    <t>Completed</t>
  </si>
  <si>
    <t>Venue complaint</t>
  </si>
  <si>
    <t>Resolved</t>
  </si>
  <si>
    <t>Paused</t>
  </si>
  <si>
    <t>Cancelled</t>
  </si>
  <si>
    <t>Fake profile</t>
  </si>
  <si>
    <t>Other</t>
  </si>
  <si>
    <t>Failed</t>
  </si>
  <si>
    <t>Disrespect</t>
  </si>
  <si>
    <t>Players</t>
  </si>
  <si>
    <t>Player master table. The bot and Make read from here for matching, consent, opt-in, credibility, and eligibility.</t>
  </si>
  <si>
    <t>Player_ID</t>
  </si>
  <si>
    <t>Name</t>
  </si>
  <si>
    <t>WhatsApp Number</t>
  </si>
  <si>
    <t>Age</t>
  </si>
  <si>
    <t>Gender</t>
  </si>
  <si>
    <t>Job Title</t>
  </si>
  <si>
    <t>Main Area</t>
  </si>
  <si>
    <t>Preferred Locations</t>
  </si>
  <si>
    <t>Max Travel Time (min)</t>
  </si>
  <si>
    <t>Games Can Play</t>
  </si>
  <si>
    <t>Primary Game</t>
  </si>
  <si>
    <t>Preferred Days</t>
  </si>
  <si>
    <t>Free From</t>
  </si>
  <si>
    <t>Free To</t>
  </si>
  <si>
    <t>Skill Level</t>
  </si>
  <si>
    <t>Preferred Venue Type</t>
  </si>
  <si>
    <t>Accepts Cost Split?</t>
  </si>
  <si>
    <t>Approved Public Venues Only?</t>
  </si>
  <si>
    <t>Privacy &amp; Rules Consent?</t>
  </si>
  <si>
    <t>Status</t>
  </si>
  <si>
    <t>Avg Rating</t>
  </si>
  <si>
    <t>Games Completed</t>
  </si>
  <si>
    <t>No Shows</t>
  </si>
  <si>
    <t>Reliability Score</t>
  </si>
  <si>
    <t>Source</t>
  </si>
  <si>
    <t>WhatsApp Opt-in?</t>
  </si>
  <si>
    <t>Marketing Consent?</t>
  </si>
  <si>
    <t>Opt-out Status</t>
  </si>
  <si>
    <t>Credibility Score</t>
  </si>
  <si>
    <t>Verification Level</t>
  </si>
  <si>
    <t>Competition Eligible?</t>
  </si>
  <si>
    <t>Ranking Visibility</t>
  </si>
  <si>
    <t>Admin Notes</t>
  </si>
  <si>
    <t>P001</t>
  </si>
  <si>
    <t>Ahmed Hassan</t>
  </si>
  <si>
    <t>+201000000001</t>
  </si>
  <si>
    <t>Male</t>
  </si>
  <si>
    <t>Doctor</t>
  </si>
  <si>
    <t>New Cairo</t>
  </si>
  <si>
    <t>New Cairo, Nasr City</t>
  </si>
  <si>
    <t>Estimation, Chess, Billiards</t>
  </si>
  <si>
    <t>Thu, Fri</t>
  </si>
  <si>
    <t>8:00 PM</t>
  </si>
  <si>
    <t>10:00 PM</t>
  </si>
  <si>
    <t>Casual</t>
  </si>
  <si>
    <t>Café</t>
  </si>
  <si>
    <t>Good</t>
  </si>
  <si>
    <t>Instagram Reels</t>
  </si>
  <si>
    <t>Public leaderboard</t>
  </si>
  <si>
    <t>Sample</t>
  </si>
  <si>
    <t>P002</t>
  </si>
  <si>
    <t>Omar Ali</t>
  </si>
  <si>
    <t>+201000000002</t>
  </si>
  <si>
    <t>Engineer</t>
  </si>
  <si>
    <t>Estimation, FIFA 2026</t>
  </si>
  <si>
    <t>Fri</t>
  </si>
  <si>
    <t>11:00 PM</t>
  </si>
  <si>
    <t>Intermediate</t>
  </si>
  <si>
    <t>Board Game Café</t>
  </si>
  <si>
    <t>Word of Mouth</t>
  </si>
  <si>
    <t>P003</t>
  </si>
  <si>
    <t>Khaled Samir</t>
  </si>
  <si>
    <t>+201000000003</t>
  </si>
  <si>
    <t>Accountant</t>
  </si>
  <si>
    <t>Nasr City</t>
  </si>
  <si>
    <t>Estimation, Billiards</t>
  </si>
  <si>
    <t>Fri, Sat</t>
  </si>
  <si>
    <t>7:00 PM</t>
  </si>
  <si>
    <t>Watch</t>
  </si>
  <si>
    <t>Facebook Ads</t>
  </si>
  <si>
    <t>Hidden/Review</t>
  </si>
  <si>
    <t>Sample no-show</t>
  </si>
  <si>
    <t>P004</t>
  </si>
  <si>
    <t>Mona Adel</t>
  </si>
  <si>
    <t>+201000000004</t>
  </si>
  <si>
    <t>Female</t>
  </si>
  <si>
    <t>Designer</t>
  </si>
  <si>
    <t>New Cairo, Heliopolis</t>
  </si>
  <si>
    <t>Chess, Padel</t>
  </si>
  <si>
    <t>Sat</t>
  </si>
  <si>
    <t>6:00 PM</t>
  </si>
  <si>
    <t>9:00 PM</t>
  </si>
  <si>
    <t>Website</t>
  </si>
  <si>
    <t>P005</t>
  </si>
  <si>
    <t>Youssef Tarek</t>
  </si>
  <si>
    <t>+201000000005</t>
  </si>
  <si>
    <t>Student</t>
  </si>
  <si>
    <t>Sheikh Zayed</t>
  </si>
  <si>
    <t>Sheikh Zayed, 6th of October</t>
  </si>
  <si>
    <t>Padel, FIFA 2026</t>
  </si>
  <si>
    <t>Beginner</t>
  </si>
  <si>
    <t>Padel Court</t>
  </si>
  <si>
    <t>TikTok</t>
  </si>
  <si>
    <t>Game Requests</t>
  </si>
  <si>
    <t>Demand table: each row is a player wanting to start or join a game.</t>
  </si>
  <si>
    <t>Request_ID</t>
  </si>
  <si>
    <t>Player Name</t>
  </si>
  <si>
    <t>Requested Game</t>
  </si>
  <si>
    <t>Preferred Location</t>
  </si>
  <si>
    <t>Preferred Date</t>
  </si>
  <si>
    <t>Time From</t>
  </si>
  <si>
    <t>Time To</t>
  </si>
  <si>
    <t>Needs Approved Venue?</t>
  </si>
  <si>
    <t>Priority Score</t>
  </si>
  <si>
    <t>Created At</t>
  </si>
  <si>
    <t>Last Updated</t>
  </si>
  <si>
    <t>R001</t>
  </si>
  <si>
    <t>Open</t>
  </si>
  <si>
    <t>Need 4 players for Estimation</t>
  </si>
  <si>
    <t>R002</t>
  </si>
  <si>
    <t>Looking for 1v1 chess</t>
  </si>
  <si>
    <t>R003</t>
  </si>
  <si>
    <t>8:30 PM</t>
  </si>
  <si>
    <t>Need players and court</t>
  </si>
  <si>
    <t>Venues</t>
  </si>
  <si>
    <t>Approved venue database. Do not send players unless agreement is signed and venue is approved.</t>
  </si>
  <si>
    <t>Venue_ID</t>
  </si>
  <si>
    <t>Venue Name</t>
  </si>
  <si>
    <t>Area</t>
  </si>
  <si>
    <t>Full Address</t>
  </si>
  <si>
    <t>Google Maps Link</t>
  </si>
  <si>
    <t>Games Supported</t>
  </si>
  <si>
    <t>Opening Hours</t>
  </si>
  <si>
    <t>Contact Person</t>
  </si>
  <si>
    <t>Contact WhatsApp</t>
  </si>
  <si>
    <t>Cost Model</t>
  </si>
  <si>
    <t>Avg Cost</t>
  </si>
  <si>
    <t>Promotion Available?</t>
  </si>
  <si>
    <t>Commission Agreement?</t>
  </si>
  <si>
    <t>Terms Signed?</t>
  </si>
  <si>
    <t>Subscription Status</t>
  </si>
  <si>
    <t>Safety Notes</t>
  </si>
  <si>
    <t>Booking Rules</t>
  </si>
  <si>
    <t>Cancellation Rules</t>
  </si>
  <si>
    <t>V001</t>
  </si>
  <si>
    <t>Partner Café New Cairo</t>
  </si>
  <si>
    <t>Placeholder address</t>
  </si>
  <si>
    <t>Paste Google Maps link</t>
  </si>
  <si>
    <t>Estimation, Chess, UNO</t>
  </si>
  <si>
    <t>12 PM - 12 AM</t>
  </si>
  <si>
    <t>Owner Name</t>
  </si>
  <si>
    <t>+201011111111</t>
  </si>
  <si>
    <t>Per table / minimum charge</t>
  </si>
  <si>
    <t>Approved</t>
  </si>
  <si>
    <t>To agree</t>
  </si>
  <si>
    <t>Public place only</t>
  </si>
  <si>
    <t>Reservation required for groups</t>
  </si>
  <si>
    <t>Cancel 4 hours before</t>
  </si>
  <si>
    <t>Sample partner venue</t>
  </si>
  <si>
    <t>V002</t>
  </si>
  <si>
    <t>Gaming Lounge Nasr City</t>
  </si>
  <si>
    <t>Gaming Lounge</t>
  </si>
  <si>
    <t>FIFA 2026, Call of Duty, League of Legends, Valorant</t>
  </si>
  <si>
    <t>2 PM - 2 AM</t>
  </si>
  <si>
    <t>+201022222222</t>
  </si>
  <si>
    <t>Per hour / device</t>
  </si>
  <si>
    <t>Depends on setup availability</t>
  </si>
  <si>
    <t>Cancel 6 hours before</t>
  </si>
  <si>
    <t>Sample venue candidate</t>
  </si>
  <si>
    <t>V003</t>
  </si>
  <si>
    <t>Padel Court Sheikh Zayed</t>
  </si>
  <si>
    <t>8 AM - 12 AM</t>
  </si>
  <si>
    <t>Manager Name</t>
  </si>
  <si>
    <t>+201033333333</t>
  </si>
  <si>
    <t>Per court / 90 min</t>
  </si>
  <si>
    <t>Approved public court</t>
  </si>
  <si>
    <t>Booking must be confirmed</t>
  </si>
  <si>
    <t>Cancel 8 hours before</t>
  </si>
  <si>
    <t>V004</t>
  </si>
  <si>
    <t>Billiards Hall Heliopolis</t>
  </si>
  <si>
    <t>Heliopolis</t>
  </si>
  <si>
    <t>Billiards Hall</t>
  </si>
  <si>
    <t>1 PM - 1 AM</t>
  </si>
  <si>
    <t>+201044444444</t>
  </si>
  <si>
    <t>Per hour / table</t>
  </si>
  <si>
    <t>Public venue</t>
  </si>
  <si>
    <t>Walk-in or reservation</t>
  </si>
  <si>
    <t>Match Sessions</t>
  </si>
  <si>
    <t>Each proposed/confirmed game session. In MVP, admin approval is required before WhatsApp invitations.</t>
  </si>
  <si>
    <t>Match_ID</t>
  </si>
  <si>
    <t>Game Date</t>
  </si>
  <si>
    <t>Start Time</t>
  </si>
  <si>
    <t>End Time</t>
  </si>
  <si>
    <t>Confirmed Players</t>
  </si>
  <si>
    <t>Players Needed</t>
  </si>
  <si>
    <t>Total Cost</t>
  </si>
  <si>
    <t>Discount %</t>
  </si>
  <si>
    <t>Cost After Discount</t>
  </si>
  <si>
    <t>Cost Per Player</t>
  </si>
  <si>
    <t>Promotion_ID</t>
  </si>
  <si>
    <t>Notification Deadline</t>
  </si>
  <si>
    <t>Captain_Player_ID</t>
  </si>
  <si>
    <t>Captain Name</t>
  </si>
  <si>
    <t>Minimum Credibility</t>
  </si>
  <si>
    <t>Admin Approved?</t>
  </si>
  <si>
    <t>Make Scenario Status</t>
  </si>
  <si>
    <t>M001</t>
  </si>
  <si>
    <t>PR001</t>
  </si>
  <si>
    <t>Send at least 4 hours before 8:00 PM</t>
  </si>
  <si>
    <t>Needs 1 player</t>
  </si>
  <si>
    <t>Ranked</t>
  </si>
  <si>
    <t>Ready for invitation</t>
  </si>
  <si>
    <t>M002</t>
  </si>
  <si>
    <t>PR002</t>
  </si>
  <si>
    <t>Send at least 4 hours before 7:00 PM</t>
  </si>
  <si>
    <t>Pending Confirmation</t>
  </si>
  <si>
    <t>Sample padel match</t>
  </si>
  <si>
    <t>Admin review</t>
  </si>
  <si>
    <t>Confirmations</t>
  </si>
  <si>
    <t>Tracks invitation responses and attendance.</t>
  </si>
  <si>
    <t>Confirmation_ID</t>
  </si>
  <si>
    <t>Invitation Sent?</t>
  </si>
  <si>
    <t>Invitation Time</t>
  </si>
  <si>
    <t>Response</t>
  </si>
  <si>
    <t>Confirmed?</t>
  </si>
  <si>
    <t>Attendance Status</t>
  </si>
  <si>
    <t>Cost Accepted?</t>
  </si>
  <si>
    <t>Reminder Sent?</t>
  </si>
  <si>
    <t>C001</t>
  </si>
  <si>
    <t>C002</t>
  </si>
  <si>
    <t>C003</t>
  </si>
  <si>
    <t>Scores</t>
  </si>
  <si>
    <t>Generic score sheet for all games. Estimation has a dedicated calculator too.</t>
  </si>
  <si>
    <t>Score_ID</t>
  </si>
  <si>
    <t>Winner?</t>
  </si>
  <si>
    <t>Submitted By</t>
  </si>
  <si>
    <t>Submitted At</t>
  </si>
  <si>
    <t>Verified?</t>
  </si>
  <si>
    <t>Verified By Captain?</t>
  </si>
  <si>
    <t>S001</t>
  </si>
  <si>
    <t>Manual sample</t>
  </si>
  <si>
    <t>Fill after match</t>
  </si>
  <si>
    <t>Ratings</t>
  </si>
  <si>
    <t>Post-game ratings feed credibility, venue performance, and incident detection.</t>
  </si>
  <si>
    <t>Rating_ID</t>
  </si>
  <si>
    <t>Rated_Player_ID</t>
  </si>
  <si>
    <t>Rated Player Name</t>
  </si>
  <si>
    <t>Rated_By_Player_ID</t>
  </si>
  <si>
    <t>Rated By Name</t>
  </si>
  <si>
    <t>Overall Rating</t>
  </si>
  <si>
    <t>On Time Rating</t>
  </si>
  <si>
    <t>Respect Rating</t>
  </si>
  <si>
    <t>Fair Play Rating</t>
  </si>
  <si>
    <t>Skill Rating</t>
  </si>
  <si>
    <t>Would Play Again?</t>
  </si>
  <si>
    <t>Feedback</t>
  </si>
  <si>
    <t>RT001</t>
  </si>
  <si>
    <t>Sample rating</t>
  </si>
  <si>
    <t>Promotions</t>
  </si>
  <si>
    <t>Promotions and discounts agreed with approved venues.</t>
  </si>
  <si>
    <t>Discount Type</t>
  </si>
  <si>
    <t>Discount Value</t>
  </si>
  <si>
    <t>Start Date</t>
  </si>
  <si>
    <t>End Date</t>
  </si>
  <si>
    <t>Terms</t>
  </si>
  <si>
    <t>Usage Count</t>
  </si>
  <si>
    <t>Percent</t>
  </si>
  <si>
    <t>Platform players only</t>
  </si>
  <si>
    <t>Off-peak hours only</t>
  </si>
  <si>
    <t>Competitions</t>
  </si>
  <si>
    <t>Area competitions with prizes/promotions, not betting.</t>
  </si>
  <si>
    <t>Competition_ID</t>
  </si>
  <si>
    <t>Entry Rules</t>
  </si>
  <si>
    <t>Prize Type</t>
  </si>
  <si>
    <t>Prize Value</t>
  </si>
  <si>
    <t>Leaderboard_ID</t>
  </si>
  <si>
    <t>CMP001</t>
  </si>
  <si>
    <t>New Cairo FIFA Cup</t>
  </si>
  <si>
    <t>Min credibility 70</t>
  </si>
  <si>
    <t>Cash/Promotion</t>
  </si>
  <si>
    <t>To find</t>
  </si>
  <si>
    <t>Planning</t>
  </si>
  <si>
    <t>LB_COMP_001</t>
  </si>
  <si>
    <t>Prize is official competition reward, not betting</t>
  </si>
  <si>
    <t>Scoring Rules</t>
  </si>
  <si>
    <t>Configuration for credibility, rankings, and Estimation scoring.</t>
  </si>
  <si>
    <t>Action Type</t>
  </si>
  <si>
    <t>Score Change</t>
  </si>
  <si>
    <t>When It Happens</t>
  </si>
  <si>
    <t>Auto/Admin</t>
  </si>
  <si>
    <t>Ranking Event</t>
  </si>
  <si>
    <t>Points</t>
  </si>
  <si>
    <t>Applies To</t>
  </si>
  <si>
    <t>Verified profile</t>
  </si>
  <si>
    <t>Phone/profile verified</t>
  </si>
  <si>
    <t>Reduce fake profiles</t>
  </si>
  <si>
    <t>Participation</t>
  </si>
  <si>
    <t>All ranked games</t>
  </si>
  <si>
    <t>Encourages activity</t>
  </si>
  <si>
    <t>Completed game</t>
  </si>
  <si>
    <t>Player attended and game completed</t>
  </si>
  <si>
    <t>Auto</t>
  </si>
  <si>
    <t>After match completion</t>
  </si>
  <si>
    <t>Win</t>
  </si>
  <si>
    <t>Competitive games</t>
  </si>
  <si>
    <t>Core ranking unit</t>
  </si>
  <si>
    <t>High rating</t>
  </si>
  <si>
    <t>Average post-game rating is 4.5+</t>
  </si>
  <si>
    <t>Based on ratings</t>
  </si>
  <si>
    <t>Draw</t>
  </si>
  <si>
    <t>Games with draw</t>
  </si>
  <si>
    <t>Optional</t>
  </si>
  <si>
    <t>On-time attendance</t>
  </si>
  <si>
    <t>Player attends on time</t>
  </si>
  <si>
    <t>Auto/Captain</t>
  </si>
  <si>
    <t>Captain/venue confirmation</t>
  </si>
  <si>
    <t>Loss</t>
  </si>
  <si>
    <t>No negative ranking points</t>
  </si>
  <si>
    <t>Early cancellation</t>
  </si>
  <si>
    <t>Cancellation before allowed window</t>
  </si>
  <si>
    <t>No penalty</t>
  </si>
  <si>
    <t>Tournament winner</t>
  </si>
  <si>
    <t>Official competition bonus</t>
  </si>
  <si>
    <t>Late cancellation</t>
  </si>
  <si>
    <t>Cancellation after allowed window</t>
  </si>
  <si>
    <t>Can be adjusted</t>
  </si>
  <si>
    <t>Runner-up</t>
  </si>
  <si>
    <t>Confirmed but did not attend</t>
  </si>
  <si>
    <t>Admin/Captain</t>
  </si>
  <si>
    <t>Major penalty</t>
  </si>
  <si>
    <t>Fair play bonus</t>
  </si>
  <si>
    <t>Admin/captain approved</t>
  </si>
  <si>
    <t>Community incentive</t>
  </si>
  <si>
    <t>Fake information</t>
  </si>
  <si>
    <t>Wrong identity/location/game data</t>
  </si>
  <si>
    <t>Admin</t>
  </si>
  <si>
    <t>Confirmed complaint</t>
  </si>
  <si>
    <t>Valid minor complaint</t>
  </si>
  <si>
    <t>Severity based</t>
  </si>
  <si>
    <t>Serious harassment</t>
  </si>
  <si>
    <t>Suspend/Ban</t>
  </si>
  <si>
    <t>Confirmed serious report</t>
  </si>
  <si>
    <t>Admin only</t>
  </si>
  <si>
    <t>Never fully AI automated</t>
  </si>
  <si>
    <t>Setting</t>
  </si>
  <si>
    <t>MVP Value</t>
  </si>
  <si>
    <t>Editable?</t>
  </si>
  <si>
    <t>Action</t>
  </si>
  <si>
    <t>Rule</t>
  </si>
  <si>
    <t>Correct estimate bonus</t>
  </si>
  <si>
    <t>When estimate equals actual result</t>
  </si>
  <si>
    <t>Join normal game</t>
  </si>
  <si>
    <t>Below this, admin approval required</t>
  </si>
  <si>
    <t>Add estimate value if correct</t>
  </si>
  <si>
    <t>Score = bonus + estimate</t>
  </si>
  <si>
    <t>Join competition</t>
  </si>
  <si>
    <t>Protects competition quality</t>
  </si>
  <si>
    <t>Wrong estimate penalty multiplier</t>
  </si>
  <si>
    <t>Penalty = absolute difference × multiplier</t>
  </si>
  <si>
    <t>Become match captain</t>
  </si>
  <si>
    <t>Captain must be reliable</t>
  </si>
  <si>
    <t>Zero estimate special rule</t>
  </si>
  <si>
    <t>Can be activated later</t>
  </si>
  <si>
    <t>Appear on public leaderboard</t>
  </si>
  <si>
    <t>Avoid promoting risky players</t>
  </si>
  <si>
    <t>Winner condition</t>
  </si>
  <si>
    <t>Highest total score</t>
  </si>
  <si>
    <t>Standard condition</t>
  </si>
  <si>
    <t>Become ambassador</t>
  </si>
  <si>
    <t>Trusted community role</t>
  </si>
  <si>
    <t>Rounds per match</t>
  </si>
  <si>
    <t>Configurable</t>
  </si>
  <si>
    <t>Depends on agreed rules</t>
  </si>
  <si>
    <t>Credibility Score Log</t>
  </si>
  <si>
    <t>Every credibility score change is logged. Players score = 70 + SUM of changes.</t>
  </si>
  <si>
    <t>Log_ID</t>
  </si>
  <si>
    <t>Reason</t>
  </si>
  <si>
    <t>Date</t>
  </si>
  <si>
    <t>CL001</t>
  </si>
  <si>
    <t>Initial MVP verification</t>
  </si>
  <si>
    <t>CL002</t>
  </si>
  <si>
    <t>Attended sample Estimation match</t>
  </si>
  <si>
    <t>CL003</t>
  </si>
  <si>
    <t>Phone verified</t>
  </si>
  <si>
    <t>CL004</t>
  </si>
  <si>
    <t>Sample penalty</t>
  </si>
  <si>
    <t>Player Rankings</t>
  </si>
  <si>
    <t>Ranking = performance. Credibility = trust filter. Keep them separate.</t>
  </si>
  <si>
    <t>Ranking_ID</t>
  </si>
  <si>
    <t>Period</t>
  </si>
  <si>
    <t>Games Played</t>
  </si>
  <si>
    <t>Wins</t>
  </si>
  <si>
    <t>Draws</t>
  </si>
  <si>
    <t>Losses</t>
  </si>
  <si>
    <t>Participation Points</t>
  </si>
  <si>
    <t>Win Points</t>
  </si>
  <si>
    <t>Draw Points</t>
  </si>
  <si>
    <t>Competition Bonus</t>
  </si>
  <si>
    <t>Fair Play Bonus</t>
  </si>
  <si>
    <t>Total Ranking Points</t>
  </si>
  <si>
    <t>Win Rate</t>
  </si>
  <si>
    <t>Rank</t>
  </si>
  <si>
    <t>Eligibility</t>
  </si>
  <si>
    <t>RK001</t>
  </si>
  <si>
    <t>Jun 2026</t>
  </si>
  <si>
    <t>RK002</t>
  </si>
  <si>
    <t>RK003</t>
  </si>
  <si>
    <t>RK004</t>
  </si>
  <si>
    <t>Estimation Calculator</t>
  </si>
  <si>
    <t>MVP calculator for Estimation scores. Rules remain configurable.</t>
  </si>
  <si>
    <t>Round #</t>
  </si>
  <si>
    <t>Estimate/Bid</t>
  </si>
  <si>
    <t>Actual Result</t>
  </si>
  <si>
    <t>Difference</t>
  </si>
  <si>
    <t>Correct?</t>
  </si>
  <si>
    <t>Round Score</t>
  </si>
  <si>
    <t>Running Total</t>
  </si>
  <si>
    <t>Winner After Round?</t>
  </si>
  <si>
    <t>Correct estimate sample</t>
  </si>
  <si>
    <t>Wrong estimate sample</t>
  </si>
  <si>
    <t>Leaderboards</t>
  </si>
  <si>
    <t>Leaderboards by player, team, area, venue, and competition.</t>
  </si>
  <si>
    <t>Type</t>
  </si>
  <si>
    <t>Entity_ID</t>
  </si>
  <si>
    <t>Entity Name</t>
  </si>
  <si>
    <t>Games/Events</t>
  </si>
  <si>
    <t>Credibility Filter</t>
  </si>
  <si>
    <t>LB001</t>
  </si>
  <si>
    <t>Player</t>
  </si>
  <si>
    <t>LB002</t>
  </si>
  <si>
    <t>LB003</t>
  </si>
  <si>
    <t>All</t>
  </si>
  <si>
    <t>AREA001</t>
  </si>
  <si>
    <t>Area activity</t>
  </si>
  <si>
    <t>LB004</t>
  </si>
  <si>
    <t>Venue</t>
  </si>
  <si>
    <t>Venue leaderboard</t>
  </si>
  <si>
    <t>Venue Performance</t>
  </si>
  <si>
    <t>Monthly venue reporting and subscription value proof.</t>
  </si>
  <si>
    <t>Games Hosted</t>
  </si>
  <si>
    <t>Players Sent</t>
  </si>
  <si>
    <t>Estimated Venue Revenue</t>
  </si>
  <si>
    <t>Promo Uses</t>
  </si>
  <si>
    <t>Average Venue Rating</t>
  </si>
  <si>
    <t>Complaint Count</t>
  </si>
  <si>
    <t>Renewal Date</t>
  </si>
  <si>
    <t>Upsell Opportunity</t>
  </si>
  <si>
    <t>Featured tier</t>
  </si>
  <si>
    <t>Area tournament</t>
  </si>
  <si>
    <t>Needs contract</t>
  </si>
  <si>
    <t>Reports &amp; Incidents</t>
  </si>
  <si>
    <t>Harassment, safety, no-show, cheating, cost dispute, and venue reports. Serious cases require manual review.</t>
  </si>
  <si>
    <t>Incident_ID</t>
  </si>
  <si>
    <t>Reporter_Player_ID</t>
  </si>
  <si>
    <t>Reporter Name</t>
  </si>
  <si>
    <t>Reported_Player_ID</t>
  </si>
  <si>
    <t>Reported Name</t>
  </si>
  <si>
    <t>Description</t>
  </si>
  <si>
    <t>Evidence Link</t>
  </si>
  <si>
    <t>Admin Owner</t>
  </si>
  <si>
    <t>Decision</t>
  </si>
  <si>
    <t>Action Taken</t>
  </si>
  <si>
    <t>Date Opened</t>
  </si>
  <si>
    <t>Date Closed</t>
  </si>
  <si>
    <t>IN001</t>
  </si>
  <si>
    <t>Player confirmed but did not attend.</t>
  </si>
  <si>
    <t>IN002</t>
  </si>
  <si>
    <t>Delay in court start time.</t>
  </si>
  <si>
    <t>Verification Levels</t>
  </si>
  <si>
    <t>Player maturity levels and permissions.</t>
  </si>
  <si>
    <t>Level</t>
  </si>
  <si>
    <t>Requirement</t>
  </si>
  <si>
    <t>Allowed Actions</t>
  </si>
  <si>
    <t>Restrictions</t>
  </si>
  <si>
    <t>Restricted/New</t>
  </si>
  <si>
    <t>Incomplete profile or credibility below 50</t>
  </si>
  <si>
    <t>Cannot auto-join; admin review needed</t>
  </si>
  <si>
    <t>No competitions, no captain role</t>
  </si>
  <si>
    <t>Watchlist</t>
  </si>
  <si>
    <t>Credibility 50–59</t>
  </si>
  <si>
    <t>May join normal games with admin approval</t>
  </si>
  <si>
    <t>No competitions</t>
  </si>
  <si>
    <t>Credibility 60–69</t>
  </si>
  <si>
    <t>Can join normal games</t>
  </si>
  <si>
    <t>Leaderboard visibility only if admin allows</t>
  </si>
  <si>
    <t>Trusted</t>
  </si>
  <si>
    <t>Credibility 70–79</t>
  </si>
  <si>
    <t>Can join games and competitions</t>
  </si>
  <si>
    <t>No captain role yet</t>
  </si>
  <si>
    <t>Competition Eligible</t>
  </si>
  <si>
    <t>Credibility 80–89</t>
  </si>
  <si>
    <t>Can join competitions and become captain</t>
  </si>
  <si>
    <t>Monitored for disputes</t>
  </si>
  <si>
    <t>Ambassador</t>
  </si>
  <si>
    <t>Credibility 90–100</t>
  </si>
  <si>
    <t>Can captain, help organize, invite others</t>
  </si>
  <si>
    <t>Still subject to rules</t>
  </si>
  <si>
    <t>Match Captains</t>
  </si>
  <si>
    <t>Captains help verify attendance, scores, venue issues, and disputes.</t>
  </si>
  <si>
    <t>Captain_Assignment_ID</t>
  </si>
  <si>
    <t>Responsibilities</t>
  </si>
  <si>
    <t>Assigned By</t>
  </si>
  <si>
    <t>Assigned At</t>
  </si>
  <si>
    <t>CAP001</t>
  </si>
  <si>
    <t>Confirm attendance, submit score, report no-shows</t>
  </si>
  <si>
    <t>Assigned</t>
  </si>
  <si>
    <t>CAP002</t>
  </si>
  <si>
    <t>Confirm venue, attendance, payment clarity, score</t>
  </si>
  <si>
    <t>Pending approval</t>
  </si>
  <si>
    <t>Make Automation Blueprint V1</t>
  </si>
  <si>
    <t>Use normal Make scenarios for fixed logic and AI only for analysis, recommendations, message drafting, and reporting.</t>
  </si>
  <si>
    <t>Scenario #</t>
  </si>
  <si>
    <t>Scenario Name</t>
  </si>
  <si>
    <t>Trigger</t>
  </si>
  <si>
    <t>Reads From</t>
  </si>
  <si>
    <t>Checks / Conditions</t>
  </si>
  <si>
    <t>AI Used?</t>
  </si>
  <si>
    <t>Output</t>
  </si>
  <si>
    <t>Status Updated</t>
  </si>
  <si>
    <t>Manual Review?</t>
  </si>
  <si>
    <t>Player Registration</t>
  </si>
  <si>
    <t>New WhatsApp/Form submission</t>
  </si>
  <si>
    <t>Players, Rules Acceptance</t>
  </si>
  <si>
    <t>Required fields, consent, opt-in, approved venue acceptance</t>
  </si>
  <si>
    <t>Create player record</t>
  </si>
  <si>
    <t>Player Status = Active/Incomplete</t>
  </si>
  <si>
    <t>If missing data</t>
  </si>
  <si>
    <t>Venue Registration</t>
  </si>
  <si>
    <t>New venue lead form</t>
  </si>
  <si>
    <t>Venues, Venue Agreements</t>
  </si>
  <si>
    <t>Venue type, area, games, pricing, terms accepted</t>
  </si>
  <si>
    <t>Create venue lead</t>
  </si>
  <si>
    <t>Venue Status = Lead/Qualified</t>
  </si>
  <si>
    <t>Game Request Creation</t>
  </si>
  <si>
    <t>Player requests game</t>
  </si>
  <si>
    <t>Game Requests, Players</t>
  </si>
  <si>
    <t>Player active, cost accepted, location available</t>
  </si>
  <si>
    <t>Create game request</t>
  </si>
  <si>
    <t>Request Status = Matching</t>
  </si>
  <si>
    <t>If player risk score low</t>
  </si>
  <si>
    <t>Match Suggestion</t>
  </si>
  <si>
    <t>New/open game request</t>
  </si>
  <si>
    <t>Players, Venues, Match Sessions</t>
  </si>
  <si>
    <t>Game, area, time, credibility, cost, venue availability</t>
  </si>
  <si>
    <t>Suggested match session</t>
  </si>
  <si>
    <t>Match Status = Proposed</t>
  </si>
  <si>
    <t>Yes in MVP</t>
  </si>
  <si>
    <t>Admin Approval</t>
  </si>
  <si>
    <t>Match proposed</t>
  </si>
  <si>
    <t>Enough players, approved venue, cost clear</t>
  </si>
  <si>
    <t>Approval / rejection</t>
  </si>
  <si>
    <t>Admin Approved = Yes/No</t>
  </si>
  <si>
    <t>WhatsApp Invitation</t>
  </si>
  <si>
    <t>Admin approves match</t>
  </si>
  <si>
    <t>Confirmations, Message Log</t>
  </si>
  <si>
    <t>Opt-in, not opted out, timing at least 4h before</t>
  </si>
  <si>
    <t>AI drafts, template sends</t>
  </si>
  <si>
    <t>Send invitation</t>
  </si>
  <si>
    <t>Confirmation Status = Pending</t>
  </si>
  <si>
    <t>Spot-check</t>
  </si>
  <si>
    <t>Confirmation Tracking</t>
  </si>
  <si>
    <t>Player replies</t>
  </si>
  <si>
    <t>Yes/No/Maybe/No response</t>
  </si>
  <si>
    <t>Update confirmation</t>
  </si>
  <si>
    <t>Match status updates</t>
  </si>
  <si>
    <t>If required players not met</t>
  </si>
  <si>
    <t>Reminder</t>
  </si>
  <si>
    <t>Match confirmed</t>
  </si>
  <si>
    <t>Match Sessions, Confirmations</t>
  </si>
  <si>
    <t>Confirmed players only, correct timing</t>
  </si>
  <si>
    <t>Send reminder</t>
  </si>
  <si>
    <t>Reminder Sent = Yes</t>
  </si>
  <si>
    <t>Make</t>
  </si>
  <si>
    <t>Score &amp; Rating</t>
  </si>
  <si>
    <t>Game end time passed</t>
  </si>
  <si>
    <t>Scores, Ratings</t>
  </si>
  <si>
    <t>Match completed, captain verified</t>
  </si>
  <si>
    <t>Optional AI summary</t>
  </si>
  <si>
    <t>Send score/rating form</t>
  </si>
  <si>
    <t>Match Status = Completed/Review</t>
  </si>
  <si>
    <t>If disputed</t>
  </si>
  <si>
    <t>Incident Handling</t>
  </si>
  <si>
    <t>Report submitted</t>
  </si>
  <si>
    <t>Severity, history, evidence</t>
  </si>
  <si>
    <t>AI triage only</t>
  </si>
  <si>
    <t>Create admin task</t>
  </si>
  <si>
    <t>Incident Status = Under Review</t>
  </si>
  <si>
    <t>Always for serious issues</t>
  </si>
  <si>
    <t>Venue Monthly Report</t>
  </si>
  <si>
    <t>Month end</t>
  </si>
  <si>
    <t>Games hosted, players sent, promos, ratings</t>
  </si>
  <si>
    <t>AI summary</t>
  </si>
  <si>
    <t>PDF/WhatsApp report</t>
  </si>
  <si>
    <t>Report Sent = Yes</t>
  </si>
  <si>
    <t>First month review</t>
  </si>
  <si>
    <t>Operations Flow Graphs</t>
  </si>
  <si>
    <t>Arrow-based logic map showing where everything lives and how the workflow moves.</t>
  </si>
  <si>
    <t>PLAYER SIDE</t>
  </si>
  <si>
    <t>→</t>
  </si>
  <si>
    <t>Register</t>
  </si>
  <si>
    <t>CRM Player Record</t>
  </si>
  <si>
    <t>Game Request</t>
  </si>
  <si>
    <t>Rules + Consent</t>
  </si>
  <si>
    <t>Location + Time</t>
  </si>
  <si>
    <t>VENUE SIDE</t>
  </si>
  <si>
    <t>Venue Lead</t>
  </si>
  <si>
    <t>Contract + Subscription</t>
  </si>
  <si>
    <t>Approved Venue</t>
  </si>
  <si>
    <t>Match Venue</t>
  </si>
  <si>
    <t>Qualification</t>
  </si>
  <si>
    <t>Terms + Promotions</t>
  </si>
  <si>
    <t>Pricing + Availability</t>
  </si>
  <si>
    <t>Cost Split</t>
  </si>
  <si>
    <t>MATCH SIDE</t>
  </si>
  <si>
    <t>WhatsApp Invite</t>
  </si>
  <si>
    <t>Game Happens</t>
  </si>
  <si>
    <t>Scores/Ratings</t>
  </si>
  <si>
    <t>Opt-in + Template</t>
  </si>
  <si>
    <t>Enough Players?</t>
  </si>
  <si>
    <t>Captain/Venue Check</t>
  </si>
  <si>
    <t>SAFETY SIDE</t>
  </si>
  <si>
    <t>Incident Report</t>
  </si>
  <si>
    <t>Admin Review</t>
  </si>
  <si>
    <t>Penalty/Decision</t>
  </si>
  <si>
    <t>Score Update</t>
  </si>
  <si>
    <t>Step</t>
  </si>
  <si>
    <t>Tool/Table</t>
  </si>
  <si>
    <t>Decision / Output</t>
  </si>
  <si>
    <t>Next Step</t>
  </si>
  <si>
    <t>WhatsApp/Form</t>
  </si>
  <si>
    <t>Submits profile, game, location, free time, consent</t>
  </si>
  <si>
    <t>Player record created</t>
  </si>
  <si>
    <t>CRM checks completeness</t>
  </si>
  <si>
    <t>Checks required fields, opt-in, rules acceptance</t>
  </si>
  <si>
    <t>Active or missing data</t>
  </si>
  <si>
    <t>Ask missing questions</t>
  </si>
  <si>
    <t>Requests game or joins available game</t>
  </si>
  <si>
    <t>Open game request</t>
  </si>
  <si>
    <t>Make + AI</t>
  </si>
  <si>
    <t>Players/Venues</t>
  </si>
  <si>
    <t>Suggests players and approved venue</t>
  </si>
  <si>
    <t>Proposed match</t>
  </si>
  <si>
    <t>Approves/rejects match</t>
  </si>
  <si>
    <t>Approved match</t>
  </si>
  <si>
    <t>WhatsApp/Confirmations</t>
  </si>
  <si>
    <t>Sends invitation and tracks replies</t>
  </si>
  <si>
    <t>Confirmed players count</t>
  </si>
  <si>
    <t>Reminder or replacement</t>
  </si>
  <si>
    <t>Captain/Venue</t>
  </si>
  <si>
    <t>Confirms attendance and game completed</t>
  </si>
  <si>
    <t>Completed/No-show/dispute</t>
  </si>
  <si>
    <t>Score/rating forms</t>
  </si>
  <si>
    <t>Submit score, rating, incidents</t>
  </si>
  <si>
    <t>Scores, reports, feedback</t>
  </si>
  <si>
    <t>Update credibility/ranking</t>
  </si>
  <si>
    <t>Sheets/Make Logs</t>
  </si>
  <si>
    <t>Checks data quality and bot issues</t>
  </si>
  <si>
    <t>Fix logic gaps</t>
  </si>
  <si>
    <t>Improve system</t>
  </si>
  <si>
    <t>Dashboard/Reports</t>
  </si>
  <si>
    <t>Reviews business performance</t>
  </si>
  <si>
    <t>Marketing/venue decisions</t>
  </si>
  <si>
    <t>Scale or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</si>
</sst>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name val="Carlito"/>
    </font>
    <font>
      <b/>
      <sz val="18"/>
      <color rgb="FF1F4E79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6F8FA"/>
      </patternFill>
    </fill>
    <fill>
      <patternFill patternType="solid">
        <fgColor rgb="FF6A1B9A"/>
      </patternFill>
    </fill>
    <fill>
      <patternFill patternType="solid">
        <fgColor rgb="FF38761D"/>
      </patternFill>
    </fill>
    <fill>
      <patternFill patternType="solid">
        <fgColor rgb="FF134F5C"/>
      </patternFill>
    </fill>
    <fill>
      <patternFill patternType="solid">
        <fgColor rgb="FF783F04"/>
      </patternFill>
    </fill>
    <fill>
      <patternFill patternType="solid">
        <fgColor rgb="FF990000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3" fillId="7" borderId="0" xfId="0" applyNumberFormat="1" applyFont="1" applyFill="1" applyBorder="1" applyAlignment="1">
      <alignment horizontal="center" vertical="center" wrapText="1"/>
    </xf>
    <xf numFmtId="0" fontId="3" fillId="8" borderId="0" xfId="0" applyNumberFormat="1" applyFont="1" applyFill="1" applyBorder="1" applyAlignment="1">
      <alignment horizontal="center" vertical="center" wrapText="1"/>
    </xf>
    <xf numFmtId="0" fontId="4" fillId="9" borderId="0" xfId="0" applyNumberFormat="1" applyFont="1" applyFill="1" applyBorder="1" applyAlignment="1">
      <alignment horizontal="center" vertical="center" wrapText="1"/>
    </xf>
    <xf numFmtId="0" fontId="4" fillId="10" borderId="0" xfId="0" applyNumberFormat="1" applyFont="1" applyFill="1" applyBorder="1" applyAlignment="1">
      <alignment horizontal="center" vertical="center" wrapText="1"/>
    </xf>
    <xf numFmtId="0" fontId="4" fillId="11" borderId="0" xfId="0" applyNumberFormat="1" applyFont="1" applyFill="1" applyBorder="1" applyAlignment="1">
      <alignment horizontal="center" vertical="center" wrapText="1"/>
    </xf>
    <xf numFmtId="0" fontId="4" fillId="12" borderId="0" xfId="0" applyNumberFormat="1" applyFont="1" applyFill="1" applyBorder="1" applyAlignment="1">
      <alignment horizontal="center" vertical="center" wrapText="1"/>
    </xf>
    <xf numFmtId="0" fontId="5" fillId="9" borderId="0" xfId="0" applyNumberFormat="1" applyFont="1" applyFill="1" applyBorder="1" applyAlignment="1">
      <alignment horizontal="center" vertical="center" wrapText="1"/>
    </xf>
    <xf numFmtId="0" fontId="5" fillId="10" borderId="0" xfId="0" applyNumberFormat="1" applyFont="1" applyFill="1" applyBorder="1" applyAlignment="1">
      <alignment horizontal="center" vertical="center" wrapText="1"/>
    </xf>
    <xf numFmtId="0" fontId="5" fillId="11" borderId="0" xfId="0" applyNumberFormat="1" applyFont="1" applyFill="1" applyBorder="1" applyAlignment="1">
      <alignment horizontal="center" vertical="center" wrapText="1"/>
    </xf>
    <xf numFmtId="0" fontId="5" fillId="1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"/>
    </sheetView>
  </sheetViews>
  <sheetFormatPr defaultRowHeight="14.25"/>
  <cols>
    <col min="1" max="1" width="16.375" customWidth="1"/>
    <col min="2" max="2" width="92.875" customWidth="1"/>
  </cols>
  <sheetData>
    <row r="1" spans="1:10" ht="27.9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1" t="s">
        <v>2</v>
      </c>
      <c r="B4" s="1" t="s">
        <v>3</v>
      </c>
    </row>
    <row r="5" spans="1:10">
      <c r="A5" s="3" t="s">
        <v>4</v>
      </c>
      <c r="B5" s="3" t="s">
        <v>5</v>
      </c>
    </row>
    <row r="6" spans="1:10">
      <c r="A6" s="3" t="s">
        <v>6</v>
      </c>
      <c r="B6" s="3" t="s">
        <v>7</v>
      </c>
    </row>
    <row r="7" spans="1:10" ht="28.5">
      <c r="A7" s="3" t="s">
        <v>8</v>
      </c>
      <c r="B7" s="3" t="s">
        <v>9</v>
      </c>
    </row>
    <row r="8" spans="1:10">
      <c r="A8" s="3" t="s">
        <v>10</v>
      </c>
      <c r="B8" s="3" t="s">
        <v>11</v>
      </c>
    </row>
    <row r="9" spans="1:10" ht="28.5">
      <c r="A9" s="3" t="s">
        <v>12</v>
      </c>
      <c r="B9" s="3" t="s">
        <v>13</v>
      </c>
    </row>
    <row r="10" spans="1:10">
      <c r="A10" s="3" t="s">
        <v>14</v>
      </c>
      <c r="B10" s="3" t="s">
        <v>15</v>
      </c>
    </row>
    <row r="11" spans="1:10" ht="28.5">
      <c r="A11" s="3" t="s">
        <v>16</v>
      </c>
      <c r="B11" s="3" t="s">
        <v>17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sqref="A1:J1"/>
    </sheetView>
  </sheetViews>
  <sheetFormatPr defaultRowHeight="14.25"/>
  <cols>
    <col min="1" max="1" width="21.25" customWidth="1"/>
    <col min="2" max="2" width="6.875" customWidth="1"/>
    <col min="3" max="3" width="21.625" customWidth="1"/>
    <col min="5" max="5" width="15.75" customWidth="1"/>
    <col min="6" max="6" width="10.625" customWidth="1"/>
    <col min="7" max="7" width="32.75" customWidth="1"/>
    <col min="8" max="8" width="22.625" customWidth="1"/>
    <col min="9" max="9" width="5.5" customWidth="1"/>
  </cols>
  <sheetData>
    <row r="1" spans="1:10" ht="27.95" customHeight="1">
      <c r="A1" s="17" t="s">
        <v>18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19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4" t="s">
        <v>20</v>
      </c>
      <c r="B4" s="4" t="s">
        <v>21</v>
      </c>
      <c r="C4" s="4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</row>
    <row r="5" spans="1:10">
      <c r="A5" s="3" t="s">
        <v>28</v>
      </c>
      <c r="B5" s="3">
        <f>COUNTA(Players!A5:A200)</f>
        <v>5</v>
      </c>
      <c r="C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10" ht="28.5">
      <c r="A6" s="3" t="s">
        <v>35</v>
      </c>
      <c r="B6" s="3">
        <f>COUNTIF(Players!U5:U200,"Active")</f>
        <v>5</v>
      </c>
      <c r="C6" s="3" t="s">
        <v>36</v>
      </c>
      <c r="E6" s="3" t="s">
        <v>37</v>
      </c>
      <c r="F6" s="3" t="s">
        <v>38</v>
      </c>
      <c r="G6" s="3" t="s">
        <v>39</v>
      </c>
      <c r="H6" s="3" t="s">
        <v>40</v>
      </c>
      <c r="I6" s="3" t="s">
        <v>34</v>
      </c>
    </row>
    <row r="7" spans="1:10" ht="28.5">
      <c r="A7" s="3" t="s">
        <v>41</v>
      </c>
      <c r="B7" s="3">
        <f>ROUND(AVERAGEIF(Players!AD5:AD200,"&gt;0"),1)</f>
        <v>69.400000000000006</v>
      </c>
      <c r="C7" s="3" t="s">
        <v>42</v>
      </c>
      <c r="E7" s="3" t="s">
        <v>43</v>
      </c>
      <c r="F7" s="3" t="s">
        <v>31</v>
      </c>
      <c r="G7" s="3" t="s">
        <v>44</v>
      </c>
      <c r="H7" s="3" t="s">
        <v>45</v>
      </c>
      <c r="I7" s="3" t="s">
        <v>34</v>
      </c>
    </row>
    <row r="8" spans="1:10" ht="28.5">
      <c r="A8" s="3" t="s">
        <v>46</v>
      </c>
      <c r="B8" s="3">
        <f>COUNTIF(Players!AF5:AF200,"Yes")</f>
        <v>4</v>
      </c>
      <c r="C8" s="3" t="s">
        <v>47</v>
      </c>
      <c r="E8" s="3" t="s">
        <v>48</v>
      </c>
      <c r="F8" s="3" t="s">
        <v>49</v>
      </c>
      <c r="G8" s="3" t="s">
        <v>50</v>
      </c>
      <c r="H8" s="3" t="s">
        <v>51</v>
      </c>
      <c r="I8" s="3" t="s">
        <v>34</v>
      </c>
    </row>
    <row r="9" spans="1:10">
      <c r="A9" s="3" t="s">
        <v>52</v>
      </c>
      <c r="B9" s="3">
        <f>COUNTIF('Game Requests'!O5:O200,"Open")</f>
        <v>2</v>
      </c>
      <c r="C9" s="3" t="s">
        <v>53</v>
      </c>
      <c r="E9" s="3" t="s">
        <v>54</v>
      </c>
      <c r="F9" s="3" t="s">
        <v>31</v>
      </c>
      <c r="G9" s="3" t="s">
        <v>55</v>
      </c>
      <c r="H9" s="3" t="s">
        <v>56</v>
      </c>
      <c r="I9" s="3" t="s">
        <v>34</v>
      </c>
    </row>
    <row r="10" spans="1:10" ht="28.5">
      <c r="A10" s="3" t="s">
        <v>57</v>
      </c>
      <c r="B10" s="3">
        <f>COUNTIF(Venues!M5:M200,"Approved")</f>
        <v>2</v>
      </c>
      <c r="C10" s="3" t="s">
        <v>58</v>
      </c>
      <c r="E10" s="3" t="s">
        <v>59</v>
      </c>
      <c r="F10" s="3" t="s">
        <v>38</v>
      </c>
      <c r="G10" s="3" t="s">
        <v>60</v>
      </c>
      <c r="H10" s="3" t="s">
        <v>61</v>
      </c>
      <c r="I10" s="3" t="s">
        <v>34</v>
      </c>
    </row>
    <row r="11" spans="1:10" ht="28.5">
      <c r="A11" s="3" t="s">
        <v>62</v>
      </c>
      <c r="B11" s="3">
        <f>COUNTIFS('Reports &amp; Incidents'!L5:L200,"&lt;&gt;Resolved",'Reports &amp; Incidents'!L5:L200,"&lt;&gt;")</f>
        <v>2</v>
      </c>
      <c r="C11" s="3" t="s">
        <v>63</v>
      </c>
      <c r="E11" s="3" t="s">
        <v>64</v>
      </c>
      <c r="F11" s="3" t="s">
        <v>38</v>
      </c>
      <c r="G11" s="3" t="s">
        <v>65</v>
      </c>
      <c r="H11" s="3" t="s">
        <v>66</v>
      </c>
      <c r="I11" s="3" t="s">
        <v>34</v>
      </c>
    </row>
    <row r="12" spans="1:10" ht="28.5">
      <c r="A12" s="3" t="s">
        <v>67</v>
      </c>
      <c r="B12" s="3">
        <f>COUNTIF(Leaderboards!L5:L200,"Public")</f>
        <v>3</v>
      </c>
      <c r="C12" s="3" t="s">
        <v>68</v>
      </c>
      <c r="E12" s="3" t="s">
        <v>69</v>
      </c>
      <c r="F12" s="3" t="s">
        <v>31</v>
      </c>
      <c r="G12" s="3" t="s">
        <v>70</v>
      </c>
      <c r="H12" s="3" t="s">
        <v>71</v>
      </c>
      <c r="I12" s="3" t="s">
        <v>34</v>
      </c>
    </row>
    <row r="13" spans="1:10" ht="28.5">
      <c r="A13" s="3" t="s">
        <v>72</v>
      </c>
      <c r="B13" s="3">
        <f>COUNTIF('Venue Performance'!F5:F200,"Active")</f>
        <v>2</v>
      </c>
      <c r="C13" s="3" t="s">
        <v>73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2" workbookViewId="0">
      <selection sqref="A1:J1"/>
    </sheetView>
  </sheetViews>
  <sheetFormatPr defaultRowHeight="14.25"/>
  <cols>
    <col min="1" max="1" width="7.625" customWidth="1"/>
    <col min="2" max="2" width="14.25" customWidth="1"/>
    <col min="3" max="3" width="9.625" customWidth="1"/>
    <col min="4" max="4" width="13.25" customWidth="1"/>
    <col min="5" max="5" width="22.5" customWidth="1"/>
    <col min="6" max="6" width="12.5" customWidth="1"/>
    <col min="7" max="7" width="16.125" customWidth="1"/>
    <col min="8" max="8" width="7.625" customWidth="1"/>
    <col min="9" max="9" width="24" customWidth="1"/>
  </cols>
  <sheetData>
    <row r="1" spans="1:10" ht="27.95" customHeight="1">
      <c r="A1" s="17" t="s">
        <v>74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75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6" t="s">
        <v>76</v>
      </c>
      <c r="B4" s="6" t="s">
        <v>77</v>
      </c>
      <c r="C4" s="6" t="s">
        <v>78</v>
      </c>
      <c r="D4" s="6" t="s">
        <v>79</v>
      </c>
      <c r="E4" s="6" t="s">
        <v>80</v>
      </c>
      <c r="F4" s="6" t="s">
        <v>81</v>
      </c>
      <c r="G4" s="6" t="s">
        <v>82</v>
      </c>
      <c r="H4" s="6" t="s">
        <v>83</v>
      </c>
      <c r="I4" s="6" t="s">
        <v>84</v>
      </c>
    </row>
    <row r="5" spans="1:10" ht="28.5">
      <c r="A5" s="3" t="s">
        <v>85</v>
      </c>
      <c r="B5" s="3" t="s">
        <v>86</v>
      </c>
      <c r="C5" s="3" t="s">
        <v>87</v>
      </c>
      <c r="D5" s="3">
        <v>4</v>
      </c>
      <c r="E5" s="3" t="s">
        <v>88</v>
      </c>
      <c r="F5" s="3" t="s">
        <v>89</v>
      </c>
      <c r="G5" s="3" t="s">
        <v>90</v>
      </c>
      <c r="H5" s="3" t="s">
        <v>91</v>
      </c>
      <c r="I5" s="3" t="s">
        <v>92</v>
      </c>
    </row>
    <row r="6" spans="1:10" ht="28.5">
      <c r="A6" s="3" t="s">
        <v>93</v>
      </c>
      <c r="B6" s="3" t="s">
        <v>94</v>
      </c>
      <c r="C6" s="3" t="s">
        <v>87</v>
      </c>
      <c r="D6" s="3">
        <v>4</v>
      </c>
      <c r="E6" s="3" t="s">
        <v>88</v>
      </c>
      <c r="F6" s="3" t="s">
        <v>95</v>
      </c>
      <c r="G6" s="3" t="s">
        <v>96</v>
      </c>
      <c r="H6" s="3" t="s">
        <v>91</v>
      </c>
      <c r="I6" s="3" t="s">
        <v>92</v>
      </c>
    </row>
    <row r="7" spans="1:10" ht="28.5">
      <c r="A7" s="3" t="s">
        <v>97</v>
      </c>
      <c r="B7" s="3" t="s">
        <v>98</v>
      </c>
      <c r="C7" s="3" t="s">
        <v>87</v>
      </c>
      <c r="D7" s="3">
        <v>2</v>
      </c>
      <c r="E7" s="3" t="s">
        <v>88</v>
      </c>
      <c r="F7" s="3" t="s">
        <v>89</v>
      </c>
      <c r="G7" s="3" t="s">
        <v>96</v>
      </c>
      <c r="H7" s="3" t="s">
        <v>91</v>
      </c>
      <c r="I7" s="3" t="s">
        <v>92</v>
      </c>
    </row>
    <row r="8" spans="1:10" ht="28.5">
      <c r="A8" s="3" t="s">
        <v>99</v>
      </c>
      <c r="B8" s="3" t="s">
        <v>100</v>
      </c>
      <c r="C8" s="3" t="s">
        <v>87</v>
      </c>
      <c r="D8" s="3">
        <v>2</v>
      </c>
      <c r="E8" s="3" t="s">
        <v>88</v>
      </c>
      <c r="F8" s="3" t="s">
        <v>89</v>
      </c>
      <c r="G8" s="3" t="s">
        <v>96</v>
      </c>
      <c r="H8" s="3" t="s">
        <v>91</v>
      </c>
      <c r="I8" s="3"/>
    </row>
    <row r="9" spans="1:10" ht="28.5">
      <c r="A9" s="3" t="s">
        <v>101</v>
      </c>
      <c r="B9" s="3" t="s">
        <v>102</v>
      </c>
      <c r="C9" s="3" t="s">
        <v>103</v>
      </c>
      <c r="D9" s="3">
        <v>2</v>
      </c>
      <c r="E9" s="3" t="s">
        <v>104</v>
      </c>
      <c r="F9" s="3" t="s">
        <v>89</v>
      </c>
      <c r="G9" s="3" t="s">
        <v>105</v>
      </c>
      <c r="H9" s="3" t="s">
        <v>91</v>
      </c>
      <c r="I9" s="3"/>
    </row>
    <row r="10" spans="1:10" ht="28.5">
      <c r="A10" s="3" t="s">
        <v>106</v>
      </c>
      <c r="B10" s="3" t="s">
        <v>107</v>
      </c>
      <c r="C10" s="3" t="s">
        <v>103</v>
      </c>
      <c r="D10" s="3">
        <v>2</v>
      </c>
      <c r="E10" s="3" t="s">
        <v>88</v>
      </c>
      <c r="F10" s="3" t="s">
        <v>89</v>
      </c>
      <c r="G10" s="3" t="s">
        <v>108</v>
      </c>
      <c r="H10" s="3" t="s">
        <v>91</v>
      </c>
      <c r="I10" s="3"/>
    </row>
    <row r="11" spans="1:10" ht="28.5">
      <c r="A11" s="3" t="s">
        <v>109</v>
      </c>
      <c r="B11" s="3" t="s">
        <v>110</v>
      </c>
      <c r="C11" s="3" t="s">
        <v>111</v>
      </c>
      <c r="D11" s="3">
        <v>2</v>
      </c>
      <c r="E11" s="3" t="s">
        <v>112</v>
      </c>
      <c r="F11" s="3" t="s">
        <v>89</v>
      </c>
      <c r="G11" s="3" t="s">
        <v>108</v>
      </c>
      <c r="H11" s="3" t="s">
        <v>91</v>
      </c>
      <c r="I11" s="3"/>
    </row>
    <row r="12" spans="1:10" ht="28.5">
      <c r="A12" s="3" t="s">
        <v>113</v>
      </c>
      <c r="B12" s="3" t="s">
        <v>114</v>
      </c>
      <c r="C12" s="3" t="s">
        <v>115</v>
      </c>
      <c r="D12" s="3">
        <v>2</v>
      </c>
      <c r="E12" s="3" t="s">
        <v>116</v>
      </c>
      <c r="F12" s="3" t="s">
        <v>117</v>
      </c>
      <c r="G12" s="3" t="s">
        <v>118</v>
      </c>
      <c r="H12" s="3" t="s">
        <v>91</v>
      </c>
      <c r="I12" s="3"/>
    </row>
    <row r="13" spans="1:10">
      <c r="A13" s="3" t="s">
        <v>119</v>
      </c>
      <c r="B13" s="3" t="s">
        <v>120</v>
      </c>
      <c r="C13" s="3" t="s">
        <v>115</v>
      </c>
      <c r="D13" s="3">
        <v>2</v>
      </c>
      <c r="E13" s="3" t="s">
        <v>121</v>
      </c>
      <c r="F13" s="3" t="s">
        <v>122</v>
      </c>
      <c r="G13" s="3" t="s">
        <v>123</v>
      </c>
      <c r="H13" s="3" t="s">
        <v>91</v>
      </c>
      <c r="I13" s="3"/>
    </row>
    <row r="14" spans="1:10" ht="28.5">
      <c r="A14" s="3" t="s">
        <v>124</v>
      </c>
      <c r="B14" s="3" t="s">
        <v>125</v>
      </c>
      <c r="C14" s="3" t="s">
        <v>126</v>
      </c>
      <c r="D14" s="3">
        <v>10</v>
      </c>
      <c r="E14" s="3" t="s">
        <v>127</v>
      </c>
      <c r="F14" s="3" t="s">
        <v>122</v>
      </c>
      <c r="G14" s="3" t="s">
        <v>128</v>
      </c>
      <c r="H14" s="3" t="s">
        <v>91</v>
      </c>
      <c r="I14" s="3"/>
    </row>
    <row r="15" spans="1:10" ht="28.5">
      <c r="A15" s="3" t="s">
        <v>129</v>
      </c>
      <c r="B15" s="3" t="s">
        <v>130</v>
      </c>
      <c r="C15" s="3" t="s">
        <v>126</v>
      </c>
      <c r="D15" s="3">
        <v>10</v>
      </c>
      <c r="E15" s="3" t="s">
        <v>127</v>
      </c>
      <c r="F15" s="3" t="s">
        <v>122</v>
      </c>
      <c r="G15" s="3" t="s">
        <v>128</v>
      </c>
      <c r="H15" s="3" t="s">
        <v>91</v>
      </c>
      <c r="I15" s="3"/>
    </row>
    <row r="16" spans="1:10">
      <c r="A16" s="3" t="s">
        <v>131</v>
      </c>
      <c r="B16" s="3" t="s">
        <v>132</v>
      </c>
      <c r="C16" s="3" t="s">
        <v>133</v>
      </c>
      <c r="D16" s="3">
        <v>10</v>
      </c>
      <c r="E16" s="3" t="s">
        <v>134</v>
      </c>
      <c r="F16" s="3" t="s">
        <v>122</v>
      </c>
      <c r="G16" s="3" t="s">
        <v>135</v>
      </c>
      <c r="H16" s="3" t="s">
        <v>91</v>
      </c>
      <c r="I16" s="3" t="s">
        <v>136</v>
      </c>
    </row>
    <row r="17" spans="1:9">
      <c r="A17" s="3" t="s">
        <v>137</v>
      </c>
      <c r="B17" s="3" t="s">
        <v>138</v>
      </c>
      <c r="C17" s="3" t="s">
        <v>133</v>
      </c>
      <c r="D17" s="3">
        <v>2</v>
      </c>
      <c r="E17" s="3" t="s">
        <v>139</v>
      </c>
      <c r="F17" s="3" t="s">
        <v>89</v>
      </c>
      <c r="G17" s="3" t="s">
        <v>135</v>
      </c>
      <c r="H17" s="3" t="s">
        <v>91</v>
      </c>
      <c r="I17" s="3"/>
    </row>
    <row r="18" spans="1:9">
      <c r="A18" s="3" t="s">
        <v>140</v>
      </c>
      <c r="B18" s="3" t="s">
        <v>141</v>
      </c>
      <c r="C18" s="3" t="s">
        <v>133</v>
      </c>
      <c r="D18" s="3">
        <v>4</v>
      </c>
      <c r="E18" s="3" t="s">
        <v>142</v>
      </c>
      <c r="F18" s="3" t="s">
        <v>122</v>
      </c>
      <c r="G18" s="3" t="s">
        <v>135</v>
      </c>
      <c r="H18" s="3" t="s">
        <v>91</v>
      </c>
      <c r="I18" s="3"/>
    </row>
    <row r="19" spans="1:9" ht="28.5">
      <c r="A19" s="3" t="s">
        <v>143</v>
      </c>
      <c r="B19" s="3" t="s">
        <v>144</v>
      </c>
      <c r="C19" s="3" t="s">
        <v>145</v>
      </c>
      <c r="D19" s="3">
        <v>0</v>
      </c>
      <c r="E19" s="3" t="s">
        <v>146</v>
      </c>
      <c r="F19" s="3" t="s">
        <v>147</v>
      </c>
      <c r="G19" s="3" t="s">
        <v>147</v>
      </c>
      <c r="H19" s="3" t="s">
        <v>34</v>
      </c>
      <c r="I19" s="3" t="s">
        <v>148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J1"/>
    </sheetView>
  </sheetViews>
  <sheetFormatPr defaultRowHeight="14.25"/>
  <cols>
    <col min="1" max="1" width="12.25" customWidth="1"/>
    <col min="2" max="2" width="10.375" customWidth="1"/>
    <col min="3" max="3" width="13.375" customWidth="1"/>
    <col min="4" max="4" width="17" customWidth="1"/>
    <col min="5" max="5" width="15.75" customWidth="1"/>
    <col min="6" max="6" width="13.125" customWidth="1"/>
    <col min="7" max="7" width="6.875" customWidth="1"/>
    <col min="8" max="8" width="15.75" customWidth="1"/>
    <col min="9" max="9" width="11.625" customWidth="1"/>
    <col min="10" max="10" width="11.5" customWidth="1"/>
  </cols>
  <sheetData>
    <row r="1" spans="1:10" ht="27.95" customHeight="1">
      <c r="A1" s="17" t="s">
        <v>149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150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1" t="s">
        <v>151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157</v>
      </c>
      <c r="H4" s="1" t="s">
        <v>158</v>
      </c>
      <c r="I4" s="1" t="s">
        <v>159</v>
      </c>
      <c r="J4" s="1" t="s">
        <v>160</v>
      </c>
    </row>
    <row r="5" spans="1:10">
      <c r="A5" s="3" t="s">
        <v>87</v>
      </c>
      <c r="B5" s="3" t="s">
        <v>161</v>
      </c>
      <c r="C5" s="3" t="s">
        <v>162</v>
      </c>
      <c r="D5" s="3" t="s">
        <v>163</v>
      </c>
      <c r="E5" s="3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</row>
    <row r="6" spans="1:10" ht="28.5">
      <c r="A6" s="3" t="s">
        <v>103</v>
      </c>
      <c r="B6" s="3" t="s">
        <v>170</v>
      </c>
      <c r="C6" s="3" t="s">
        <v>171</v>
      </c>
      <c r="D6" s="3" t="s">
        <v>172</v>
      </c>
      <c r="E6" s="3" t="s">
        <v>173</v>
      </c>
      <c r="F6" s="3" t="s">
        <v>174</v>
      </c>
      <c r="G6" s="3" t="s">
        <v>175</v>
      </c>
      <c r="H6" s="3" t="s">
        <v>176</v>
      </c>
      <c r="I6" s="3" t="s">
        <v>177</v>
      </c>
      <c r="J6" s="3" t="s">
        <v>178</v>
      </c>
    </row>
    <row r="7" spans="1:10" ht="28.5">
      <c r="A7" s="3" t="s">
        <v>111</v>
      </c>
      <c r="B7" s="3" t="s">
        <v>179</v>
      </c>
      <c r="C7" s="3" t="s">
        <v>180</v>
      </c>
      <c r="D7" s="3" t="s">
        <v>181</v>
      </c>
      <c r="E7" s="3" t="s">
        <v>182</v>
      </c>
      <c r="F7" s="3" t="s">
        <v>183</v>
      </c>
      <c r="G7" s="3" t="s">
        <v>184</v>
      </c>
      <c r="H7" s="3" t="s">
        <v>185</v>
      </c>
      <c r="I7" s="3" t="s">
        <v>186</v>
      </c>
      <c r="J7" s="3" t="s">
        <v>187</v>
      </c>
    </row>
    <row r="8" spans="1:10" ht="28.5">
      <c r="A8" s="3" t="s">
        <v>115</v>
      </c>
      <c r="B8" s="3" t="s">
        <v>188</v>
      </c>
      <c r="C8" s="3" t="s">
        <v>189</v>
      </c>
      <c r="D8" s="3" t="s">
        <v>190</v>
      </c>
      <c r="E8" s="3" t="s">
        <v>191</v>
      </c>
      <c r="F8" s="3" t="s">
        <v>192</v>
      </c>
      <c r="G8" s="3" t="s">
        <v>193</v>
      </c>
      <c r="H8" s="3" t="s">
        <v>194</v>
      </c>
      <c r="I8" s="3" t="s">
        <v>195</v>
      </c>
      <c r="J8" s="3" t="s">
        <v>196</v>
      </c>
    </row>
    <row r="9" spans="1:10" ht="28.5">
      <c r="A9" s="3" t="s">
        <v>126</v>
      </c>
      <c r="B9" s="3" t="s">
        <v>197</v>
      </c>
      <c r="C9" s="3" t="s">
        <v>170</v>
      </c>
      <c r="D9" s="3" t="s">
        <v>198</v>
      </c>
      <c r="E9" s="3" t="s">
        <v>165</v>
      </c>
      <c r="F9" s="3" t="s">
        <v>199</v>
      </c>
      <c r="G9" s="3"/>
      <c r="H9" s="3"/>
      <c r="I9" s="3"/>
      <c r="J9" s="3" t="s">
        <v>200</v>
      </c>
    </row>
    <row r="10" spans="1:10">
      <c r="A10" s="3" t="s">
        <v>133</v>
      </c>
      <c r="B10" s="3"/>
      <c r="C10" s="3" t="s">
        <v>201</v>
      </c>
      <c r="D10" s="3" t="s">
        <v>202</v>
      </c>
      <c r="E10" s="3"/>
      <c r="F10" s="3" t="s">
        <v>203</v>
      </c>
      <c r="G10" s="3"/>
      <c r="H10" s="3"/>
      <c r="I10" s="3"/>
      <c r="J10" s="3"/>
    </row>
    <row r="11" spans="1:10">
      <c r="A11" s="3" t="s">
        <v>204</v>
      </c>
      <c r="B11" s="3"/>
      <c r="C11" s="3" t="s">
        <v>202</v>
      </c>
      <c r="D11" s="3" t="s">
        <v>205</v>
      </c>
      <c r="E11" s="3"/>
      <c r="F11" s="3" t="s">
        <v>206</v>
      </c>
      <c r="G11" s="3"/>
      <c r="H11" s="3"/>
      <c r="I11" s="3"/>
      <c r="J11" s="3"/>
    </row>
  </sheetData>
  <mergeCells count="2">
    <mergeCell ref="A1:J1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0"/>
  <sheetViews>
    <sheetView workbookViewId="0">
      <selection sqref="A1:J1"/>
    </sheetView>
  </sheetViews>
  <sheetFormatPr defaultRowHeight="14.25"/>
  <cols>
    <col min="1" max="1" width="7.875" customWidth="1"/>
    <col min="2" max="2" width="20" customWidth="1"/>
    <col min="3" max="3" width="15.125" customWidth="1"/>
    <col min="4" max="4" width="3.5" customWidth="1"/>
    <col min="5" max="5" width="6.25" customWidth="1"/>
    <col min="6" max="6" width="9" customWidth="1"/>
    <col min="7" max="7" width="10.25" customWidth="1"/>
    <col min="8" max="8" width="28" customWidth="1"/>
    <col min="9" max="9" width="17.5" customWidth="1"/>
    <col min="10" max="10" width="30" customWidth="1"/>
    <col min="11" max="11" width="11.5" customWidth="1"/>
    <col min="12" max="12" width="12.25" customWidth="1"/>
    <col min="13" max="13" width="11.75" customWidth="1"/>
    <col min="14" max="14" width="8.25" customWidth="1"/>
    <col min="15" max="15" width="7.75" customWidth="1"/>
    <col min="16" max="16" width="10.25" customWidth="1"/>
    <col min="17" max="17" width="17" customWidth="1"/>
    <col min="18" max="18" width="14.875" customWidth="1"/>
    <col min="19" max="19" width="23.75" customWidth="1"/>
    <col min="20" max="20" width="19.75" customWidth="1"/>
    <col min="21" max="21" width="5.25" customWidth="1"/>
    <col min="22" max="22" width="8.625" customWidth="1"/>
    <col min="23" max="23" width="14.5" customWidth="1"/>
    <col min="24" max="24" width="8.125" customWidth="1"/>
    <col min="25" max="25" width="12.75" customWidth="1"/>
    <col min="26" max="26" width="12.25" customWidth="1"/>
    <col min="27" max="27" width="14.625" customWidth="1"/>
    <col min="28" max="28" width="15.875" customWidth="1"/>
    <col min="29" max="29" width="11.625" customWidth="1"/>
    <col min="30" max="30" width="12.875" customWidth="1"/>
    <col min="31" max="31" width="13.625" customWidth="1"/>
    <col min="32" max="32" width="16.75" customWidth="1"/>
    <col min="33" max="33" width="14.625" customWidth="1"/>
    <col min="34" max="34" width="12.875" customWidth="1"/>
  </cols>
  <sheetData>
    <row r="1" spans="1:34" ht="27.95" customHeight="1">
      <c r="A1" s="17" t="s">
        <v>207</v>
      </c>
      <c r="B1" s="18"/>
      <c r="C1" s="18"/>
      <c r="D1" s="18"/>
      <c r="E1" s="18"/>
      <c r="F1" s="18"/>
      <c r="G1" s="18"/>
      <c r="H1" s="18"/>
      <c r="I1" s="18"/>
      <c r="J1" s="18"/>
    </row>
    <row r="2" spans="1:34" ht="35.1" customHeight="1">
      <c r="A2" s="19" t="s">
        <v>208</v>
      </c>
      <c r="B2" s="18"/>
      <c r="C2" s="18"/>
      <c r="D2" s="18"/>
      <c r="E2" s="18"/>
      <c r="F2" s="18"/>
      <c r="G2" s="18"/>
      <c r="H2" s="18"/>
      <c r="I2" s="18"/>
      <c r="J2" s="18"/>
    </row>
    <row r="4" spans="1:34" ht="27.95" customHeight="1">
      <c r="A4" s="4" t="s">
        <v>209</v>
      </c>
      <c r="B4" s="4" t="s">
        <v>210</v>
      </c>
      <c r="C4" s="4" t="s">
        <v>211</v>
      </c>
      <c r="D4" s="4" t="s">
        <v>212</v>
      </c>
      <c r="E4" s="4" t="s">
        <v>213</v>
      </c>
      <c r="F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  <c r="K4" s="4" t="s">
        <v>219</v>
      </c>
      <c r="L4" s="4" t="s">
        <v>151</v>
      </c>
      <c r="M4" s="4" t="s">
        <v>220</v>
      </c>
      <c r="N4" s="4" t="s">
        <v>221</v>
      </c>
      <c r="O4" s="4" t="s">
        <v>222</v>
      </c>
      <c r="P4" s="4" t="s">
        <v>223</v>
      </c>
      <c r="Q4" s="4" t="s">
        <v>224</v>
      </c>
      <c r="R4" s="4" t="s">
        <v>225</v>
      </c>
      <c r="S4" s="4" t="s">
        <v>226</v>
      </c>
      <c r="T4" s="4" t="s">
        <v>227</v>
      </c>
      <c r="U4" s="4" t="s">
        <v>228</v>
      </c>
      <c r="V4" s="4" t="s">
        <v>229</v>
      </c>
      <c r="W4" s="4" t="s">
        <v>230</v>
      </c>
      <c r="X4" s="4" t="s">
        <v>231</v>
      </c>
      <c r="Y4" s="4" t="s">
        <v>232</v>
      </c>
      <c r="Z4" s="4" t="s">
        <v>233</v>
      </c>
      <c r="AA4" s="4" t="s">
        <v>234</v>
      </c>
      <c r="AB4" s="4" t="s">
        <v>235</v>
      </c>
      <c r="AC4" s="4" t="s">
        <v>236</v>
      </c>
      <c r="AD4" s="4" t="s">
        <v>237</v>
      </c>
      <c r="AE4" s="4" t="s">
        <v>238</v>
      </c>
      <c r="AF4" s="4" t="s">
        <v>239</v>
      </c>
      <c r="AG4" s="4" t="s">
        <v>240</v>
      </c>
      <c r="AH4" s="4" t="s">
        <v>241</v>
      </c>
    </row>
    <row r="5" spans="1:34" ht="28.5">
      <c r="A5" s="3" t="s">
        <v>242</v>
      </c>
      <c r="B5" s="3" t="s">
        <v>243</v>
      </c>
      <c r="C5" s="3" t="s">
        <v>244</v>
      </c>
      <c r="D5" s="3">
        <v>32</v>
      </c>
      <c r="E5" s="3" t="s">
        <v>245</v>
      </c>
      <c r="F5" s="3" t="s">
        <v>246</v>
      </c>
      <c r="G5" s="3" t="s">
        <v>247</v>
      </c>
      <c r="H5" s="3" t="s">
        <v>248</v>
      </c>
      <c r="I5" s="3">
        <v>20</v>
      </c>
      <c r="J5" s="3" t="s">
        <v>249</v>
      </c>
      <c r="K5" s="3" t="s">
        <v>86</v>
      </c>
      <c r="L5" s="3" t="s">
        <v>87</v>
      </c>
      <c r="M5" s="3" t="s">
        <v>250</v>
      </c>
      <c r="N5" s="3" t="s">
        <v>251</v>
      </c>
      <c r="O5" s="3" t="s">
        <v>252</v>
      </c>
      <c r="P5" s="3" t="s">
        <v>253</v>
      </c>
      <c r="Q5" s="3" t="s">
        <v>254</v>
      </c>
      <c r="R5" s="3" t="s">
        <v>91</v>
      </c>
      <c r="S5" s="3" t="s">
        <v>91</v>
      </c>
      <c r="T5" s="3" t="s">
        <v>91</v>
      </c>
      <c r="U5" s="3" t="s">
        <v>170</v>
      </c>
      <c r="V5" s="3">
        <v>5</v>
      </c>
      <c r="W5" s="3">
        <v>1</v>
      </c>
      <c r="X5" s="3">
        <v>0</v>
      </c>
      <c r="Y5" s="3" t="s">
        <v>255</v>
      </c>
      <c r="Z5" s="3" t="s">
        <v>256</v>
      </c>
      <c r="AA5" s="3" t="s">
        <v>91</v>
      </c>
      <c r="AB5" s="3" t="s">
        <v>91</v>
      </c>
      <c r="AC5" s="3" t="s">
        <v>34</v>
      </c>
      <c r="AD5" s="3">
        <f>IF(A5="","",MIN(100,MAX(0,70+SUMIF('Credibility Log'!$B:$B,A5,'Credibility Log'!$E:$E))))</f>
        <v>77</v>
      </c>
      <c r="AE5" s="3" t="e">
        <f ca="1">IF(AD5="","",IFS(AD5&gt;=90,"Level 5 - Ambassador",AD5&gt;=80,"Level 4 - Competition Eligible",AD5&gt;=70,"Level 3 - Trusted",AD5&gt;=60,"Level 2 - Active",AD5&gt;=50,"Level 1 - Watchlist",TRUE,"Level 0 - Restricted"))</f>
        <v>#NAME?</v>
      </c>
      <c r="AF5" s="3" t="str">
        <f t="shared" ref="AF5:AF36" si="0">IF(AD5="","",IF(AD5&gt;=70,"Yes","No"))</f>
        <v>Yes</v>
      </c>
      <c r="AG5" s="3" t="s">
        <v>257</v>
      </c>
      <c r="AH5" s="3" t="s">
        <v>258</v>
      </c>
    </row>
    <row r="6" spans="1:34" ht="28.5">
      <c r="A6" s="3" t="s">
        <v>259</v>
      </c>
      <c r="B6" s="3" t="s">
        <v>260</v>
      </c>
      <c r="C6" s="3" t="s">
        <v>261</v>
      </c>
      <c r="D6" s="3">
        <v>28</v>
      </c>
      <c r="E6" s="3" t="s">
        <v>245</v>
      </c>
      <c r="F6" s="3" t="s">
        <v>262</v>
      </c>
      <c r="G6" s="3" t="s">
        <v>247</v>
      </c>
      <c r="H6" s="3" t="s">
        <v>247</v>
      </c>
      <c r="I6" s="3">
        <v>15</v>
      </c>
      <c r="J6" s="3" t="s">
        <v>263</v>
      </c>
      <c r="K6" s="3" t="s">
        <v>86</v>
      </c>
      <c r="L6" s="3" t="s">
        <v>87</v>
      </c>
      <c r="M6" s="3" t="s">
        <v>264</v>
      </c>
      <c r="N6" s="3" t="s">
        <v>251</v>
      </c>
      <c r="O6" s="3" t="s">
        <v>265</v>
      </c>
      <c r="P6" s="3" t="s">
        <v>266</v>
      </c>
      <c r="Q6" s="3" t="s">
        <v>267</v>
      </c>
      <c r="R6" s="3" t="s">
        <v>91</v>
      </c>
      <c r="S6" s="3" t="s">
        <v>91</v>
      </c>
      <c r="T6" s="3" t="s">
        <v>91</v>
      </c>
      <c r="U6" s="3" t="s">
        <v>170</v>
      </c>
      <c r="V6" s="3">
        <v>4.8</v>
      </c>
      <c r="W6" s="3">
        <v>1</v>
      </c>
      <c r="X6" s="3">
        <v>0</v>
      </c>
      <c r="Y6" s="3" t="s">
        <v>255</v>
      </c>
      <c r="Z6" s="3" t="s">
        <v>268</v>
      </c>
      <c r="AA6" s="3" t="s">
        <v>91</v>
      </c>
      <c r="AB6" s="3" t="s">
        <v>91</v>
      </c>
      <c r="AC6" s="3" t="s">
        <v>34</v>
      </c>
      <c r="AD6" s="3">
        <f>IF(A6="","",MIN(100,MAX(0,70+SUMIF('Credibility Log'!$B:$B,A6,'Credibility Log'!$E:$E))))</f>
        <v>75</v>
      </c>
      <c r="AE6" s="3" t="e">
        <f ca="1">IF(AD6="","",IFS(AD6&gt;=90,"Level 5 - Ambassador",AD6&gt;=80,"Level 4 - Competition Eligible",AD6&gt;=70,"Level 3 - Trusted",AD6&gt;=60,"Level 2 - Active",AD6&gt;=50,"Level 1 - Watchlist",TRUE,"Level 0 - Restricted"))</f>
        <v>#NAME?</v>
      </c>
      <c r="AF6" s="3" t="str">
        <f t="shared" si="0"/>
        <v>Yes</v>
      </c>
      <c r="AG6" s="3" t="s">
        <v>257</v>
      </c>
      <c r="AH6" s="3" t="s">
        <v>258</v>
      </c>
    </row>
    <row r="7" spans="1:34" ht="28.5">
      <c r="A7" s="3" t="s">
        <v>269</v>
      </c>
      <c r="B7" s="3" t="s">
        <v>270</v>
      </c>
      <c r="C7" s="3" t="s">
        <v>271</v>
      </c>
      <c r="D7" s="3">
        <v>30</v>
      </c>
      <c r="E7" s="3" t="s">
        <v>245</v>
      </c>
      <c r="F7" s="3" t="s">
        <v>272</v>
      </c>
      <c r="G7" s="3" t="s">
        <v>273</v>
      </c>
      <c r="H7" s="3" t="s">
        <v>248</v>
      </c>
      <c r="I7" s="3">
        <v>30</v>
      </c>
      <c r="J7" s="3" t="s">
        <v>274</v>
      </c>
      <c r="K7" s="3" t="s">
        <v>86</v>
      </c>
      <c r="L7" s="3" t="s">
        <v>87</v>
      </c>
      <c r="M7" s="3" t="s">
        <v>275</v>
      </c>
      <c r="N7" s="3" t="s">
        <v>276</v>
      </c>
      <c r="O7" s="3" t="s">
        <v>265</v>
      </c>
      <c r="P7" s="3" t="s">
        <v>253</v>
      </c>
      <c r="Q7" s="3" t="s">
        <v>254</v>
      </c>
      <c r="R7" s="3" t="s">
        <v>91</v>
      </c>
      <c r="S7" s="3" t="s">
        <v>91</v>
      </c>
      <c r="T7" s="3" t="s">
        <v>91</v>
      </c>
      <c r="U7" s="3" t="s">
        <v>170</v>
      </c>
      <c r="V7" s="3">
        <v>3.5</v>
      </c>
      <c r="W7" s="3">
        <v>0</v>
      </c>
      <c r="X7" s="3">
        <v>1</v>
      </c>
      <c r="Y7" s="3" t="s">
        <v>277</v>
      </c>
      <c r="Z7" s="3" t="s">
        <v>278</v>
      </c>
      <c r="AA7" s="3" t="s">
        <v>91</v>
      </c>
      <c r="AB7" s="3" t="s">
        <v>34</v>
      </c>
      <c r="AC7" s="3" t="s">
        <v>34</v>
      </c>
      <c r="AD7" s="3">
        <f>IF(A7="","",MIN(100,MAX(0,70+SUMIF('Credibility Log'!$B:$B,A7,'Credibility Log'!$E:$E))))</f>
        <v>55</v>
      </c>
      <c r="AE7" s="3" t="e">
        <f ca="1">IF(AD7="","",IFS(AD7&gt;=90,"Level 5 - Ambassador",AD7&gt;=80,"Level 4 - Competition Eligible",AD7&gt;=70,"Level 3 - Trusted",AD7&gt;=60,"Level 2 - Active",AD7&gt;=50,"Level 1 - Watchlist",TRUE,"Level 0 - Restricted"))</f>
        <v>#NAME?</v>
      </c>
      <c r="AF7" s="3" t="str">
        <f t="shared" si="0"/>
        <v>No</v>
      </c>
      <c r="AG7" s="3" t="s">
        <v>279</v>
      </c>
      <c r="AH7" s="3" t="s">
        <v>280</v>
      </c>
    </row>
    <row r="8" spans="1:34" ht="28.5">
      <c r="A8" s="3" t="s">
        <v>281</v>
      </c>
      <c r="B8" s="3" t="s">
        <v>282</v>
      </c>
      <c r="C8" s="3" t="s">
        <v>283</v>
      </c>
      <c r="D8" s="3">
        <v>26</v>
      </c>
      <c r="E8" s="3" t="s">
        <v>284</v>
      </c>
      <c r="F8" s="3" t="s">
        <v>285</v>
      </c>
      <c r="G8" s="3" t="s">
        <v>247</v>
      </c>
      <c r="H8" s="3" t="s">
        <v>286</v>
      </c>
      <c r="I8" s="3">
        <v>20</v>
      </c>
      <c r="J8" s="3" t="s">
        <v>287</v>
      </c>
      <c r="K8" s="3" t="s">
        <v>102</v>
      </c>
      <c r="L8" s="3" t="s">
        <v>103</v>
      </c>
      <c r="M8" s="3" t="s">
        <v>288</v>
      </c>
      <c r="N8" s="3" t="s">
        <v>289</v>
      </c>
      <c r="O8" s="3" t="s">
        <v>290</v>
      </c>
      <c r="P8" s="3" t="s">
        <v>266</v>
      </c>
      <c r="Q8" s="3" t="s">
        <v>267</v>
      </c>
      <c r="R8" s="3" t="s">
        <v>91</v>
      </c>
      <c r="S8" s="3" t="s">
        <v>91</v>
      </c>
      <c r="T8" s="3" t="s">
        <v>91</v>
      </c>
      <c r="U8" s="3" t="s">
        <v>170</v>
      </c>
      <c r="V8" s="3">
        <v>5</v>
      </c>
      <c r="W8" s="3">
        <v>1</v>
      </c>
      <c r="X8" s="3">
        <v>0</v>
      </c>
      <c r="Y8" s="3" t="s">
        <v>255</v>
      </c>
      <c r="Z8" s="3" t="s">
        <v>291</v>
      </c>
      <c r="AA8" s="3" t="s">
        <v>91</v>
      </c>
      <c r="AB8" s="3" t="s">
        <v>91</v>
      </c>
      <c r="AC8" s="3" t="s">
        <v>34</v>
      </c>
      <c r="AD8" s="3">
        <f>IF(A8="","",MIN(100,MAX(0,70+SUMIF('Credibility Log'!$B:$B,A8,'Credibility Log'!$E:$E))))</f>
        <v>70</v>
      </c>
      <c r="AE8" s="3" t="e">
        <f ca="1">IF(AD8="","",IFS(AD8&gt;=90,"Level 5 - Ambassador",AD8&gt;=80,"Level 4 - Competition Eligible",AD8&gt;=70,"Level 3 - Trusted",AD8&gt;=60,"Level 2 - Active",AD8&gt;=50,"Level 1 - Watchlist",TRUE,"Level 0 - Restricted"))</f>
        <v>#NAME?</v>
      </c>
      <c r="AF8" s="3" t="str">
        <f t="shared" si="0"/>
        <v>Yes</v>
      </c>
      <c r="AG8" s="3" t="s">
        <v>257</v>
      </c>
      <c r="AH8" s="3" t="s">
        <v>258</v>
      </c>
    </row>
    <row r="9" spans="1:34" ht="28.5">
      <c r="A9" s="3" t="s">
        <v>292</v>
      </c>
      <c r="B9" s="3" t="s">
        <v>293</v>
      </c>
      <c r="C9" s="3" t="s">
        <v>294</v>
      </c>
      <c r="D9" s="3">
        <v>24</v>
      </c>
      <c r="E9" s="3" t="s">
        <v>245</v>
      </c>
      <c r="F9" s="3" t="s">
        <v>295</v>
      </c>
      <c r="G9" s="3" t="s">
        <v>296</v>
      </c>
      <c r="H9" s="3" t="s">
        <v>297</v>
      </c>
      <c r="I9" s="3">
        <v>15</v>
      </c>
      <c r="J9" s="3" t="s">
        <v>298</v>
      </c>
      <c r="K9" s="3" t="s">
        <v>141</v>
      </c>
      <c r="L9" s="3" t="s">
        <v>133</v>
      </c>
      <c r="M9" s="3" t="s">
        <v>275</v>
      </c>
      <c r="N9" s="3" t="s">
        <v>276</v>
      </c>
      <c r="O9" s="3" t="s">
        <v>252</v>
      </c>
      <c r="P9" s="3" t="s">
        <v>299</v>
      </c>
      <c r="Q9" s="3" t="s">
        <v>300</v>
      </c>
      <c r="R9" s="3" t="s">
        <v>91</v>
      </c>
      <c r="S9" s="3" t="s">
        <v>91</v>
      </c>
      <c r="T9" s="3" t="s">
        <v>91</v>
      </c>
      <c r="U9" s="3" t="s">
        <v>170</v>
      </c>
      <c r="V9" s="3">
        <v>4.2</v>
      </c>
      <c r="W9" s="3">
        <v>0</v>
      </c>
      <c r="X9" s="3">
        <v>0</v>
      </c>
      <c r="Y9" s="3" t="s">
        <v>161</v>
      </c>
      <c r="Z9" s="3" t="s">
        <v>301</v>
      </c>
      <c r="AA9" s="3" t="s">
        <v>91</v>
      </c>
      <c r="AB9" s="3" t="s">
        <v>91</v>
      </c>
      <c r="AC9" s="3" t="s">
        <v>34</v>
      </c>
      <c r="AD9" s="3">
        <f>IF(A9="","",MIN(100,MAX(0,70+SUMIF('Credibility Log'!$B:$B,A9,'Credibility Log'!$E:$E))))</f>
        <v>70</v>
      </c>
      <c r="AE9" s="3" t="e">
        <f ca="1">IF(AD9="","",IFS(AD9&gt;=90,"Level 5 - Ambassador",AD9&gt;=80,"Level 4 - Competition Eligible",AD9&gt;=70,"Level 3 - Trusted",AD9&gt;=60,"Level 2 - Active",AD9&gt;=50,"Level 1 - Watchlist",TRUE,"Level 0 - Restricted"))</f>
        <v>#NAME?</v>
      </c>
      <c r="AF9" s="3" t="str">
        <f t="shared" si="0"/>
        <v>Yes</v>
      </c>
      <c r="AG9" s="3" t="s">
        <v>257</v>
      </c>
      <c r="AH9" s="3" t="s">
        <v>258</v>
      </c>
    </row>
    <row r="10" spans="1:34">
      <c r="AD10" t="str">
        <f>IF(A10="","",MIN(100,MAX(0,70+SUMIF('Credibility Log'!$B:$B,A10,'Credibility Log'!$E:$E))))</f>
        <v/>
      </c>
      <c r="AE10" t="str">
        <f>IF(AD10="","",IFS(AD10&gt;=90,"Level 5 - Ambassador",AD10&gt;=80,"Level 4 - Competition Eligible",AD10&gt;=70,"Level 3 - Trusted",AD10&gt;=60,"Level 2 - Active",AD10&gt;=50,"Level 1 - Watchlist",TRUE,"Level 0 - Restricted"))</f>
        <v/>
      </c>
      <c r="AF10" t="str">
        <f t="shared" si="0"/>
        <v/>
      </c>
    </row>
    <row r="11" spans="1:34">
      <c r="AD11" t="str">
        <f>IF(A11="","",MIN(100,MAX(0,70+SUMIF('Credibility Log'!$B:$B,A11,'Credibility Log'!$E:$E))))</f>
        <v/>
      </c>
      <c r="AE11" t="str">
        <f>IF(AD11="","",IFS(AD11&gt;=90,"Level 5 - Ambassador",AD11&gt;=80,"Level 4 - Competition Eligible",AD11&gt;=70,"Level 3 - Trusted",AD11&gt;=60,"Level 2 - Active",AD11&gt;=50,"Level 1 - Watchlist",TRUE,"Level 0 - Restricted"))</f>
        <v/>
      </c>
      <c r="AF11" t="str">
        <f t="shared" si="0"/>
        <v/>
      </c>
    </row>
    <row r="12" spans="1:34">
      <c r="AD12" t="str">
        <f>IF(A12="","",MIN(100,MAX(0,70+SUMIF('Credibility Log'!$B:$B,A12,'Credibility Log'!$E:$E))))</f>
        <v/>
      </c>
      <c r="AE12" t="str">
        <f>IF(AD12="","",IFS(AD12&gt;=90,"Level 5 - Ambassador",AD12&gt;=80,"Level 4 - Competition Eligible",AD12&gt;=70,"Level 3 - Trusted",AD12&gt;=60,"Level 2 - Active",AD12&gt;=50,"Level 1 - Watchlist",TRUE,"Level 0 - Restricted"))</f>
        <v/>
      </c>
      <c r="AF12" t="str">
        <f t="shared" si="0"/>
        <v/>
      </c>
    </row>
    <row r="13" spans="1:34">
      <c r="AD13" t="str">
        <f>IF(A13="","",MIN(100,MAX(0,70+SUMIF('Credibility Log'!$B:$B,A13,'Credibility Log'!$E:$E))))</f>
        <v/>
      </c>
      <c r="AE13" t="str">
        <f>IF(AD13="","",IFS(AD13&gt;=90,"Level 5 - Ambassador",AD13&gt;=80,"Level 4 - Competition Eligible",AD13&gt;=70,"Level 3 - Trusted",AD13&gt;=60,"Level 2 - Active",AD13&gt;=50,"Level 1 - Watchlist",TRUE,"Level 0 - Restricted"))</f>
        <v/>
      </c>
      <c r="AF13" t="str">
        <f t="shared" si="0"/>
        <v/>
      </c>
    </row>
    <row r="14" spans="1:34">
      <c r="AD14" t="str">
        <f>IF(A14="","",MIN(100,MAX(0,70+SUMIF('Credibility Log'!$B:$B,A14,'Credibility Log'!$E:$E))))</f>
        <v/>
      </c>
      <c r="AE14" t="str">
        <f>IF(AD14="","",IFS(AD14&gt;=90,"Level 5 - Ambassador",AD14&gt;=80,"Level 4 - Competition Eligible",AD14&gt;=70,"Level 3 - Trusted",AD14&gt;=60,"Level 2 - Active",AD14&gt;=50,"Level 1 - Watchlist",TRUE,"Level 0 - Restricted"))</f>
        <v/>
      </c>
      <c r="AF14" t="str">
        <f t="shared" si="0"/>
        <v/>
      </c>
    </row>
    <row r="15" spans="1:34">
      <c r="AD15" t="str">
        <f>IF(A15="","",MIN(100,MAX(0,70+SUMIF('Credibility Log'!$B:$B,A15,'Credibility Log'!$E:$E))))</f>
        <v/>
      </c>
      <c r="AE15" t="str">
        <f>IF(AD15="","",IFS(AD15&gt;=90,"Level 5 - Ambassador",AD15&gt;=80,"Level 4 - Competition Eligible",AD15&gt;=70,"Level 3 - Trusted",AD15&gt;=60,"Level 2 - Active",AD15&gt;=50,"Level 1 - Watchlist",TRUE,"Level 0 - Restricted"))</f>
        <v/>
      </c>
      <c r="AF15" t="str">
        <f t="shared" si="0"/>
        <v/>
      </c>
    </row>
    <row r="16" spans="1:34">
      <c r="AD16" t="str">
        <f>IF(A16="","",MIN(100,MAX(0,70+SUMIF('Credibility Log'!$B:$B,A16,'Credibility Log'!$E:$E))))</f>
        <v/>
      </c>
      <c r="AE16" t="str">
        <f>IF(AD16="","",IFS(AD16&gt;=90,"Level 5 - Ambassador",AD16&gt;=80,"Level 4 - Competition Eligible",AD16&gt;=70,"Level 3 - Trusted",AD16&gt;=60,"Level 2 - Active",AD16&gt;=50,"Level 1 - Watchlist",TRUE,"Level 0 - Restricted"))</f>
        <v/>
      </c>
      <c r="AF16" t="str">
        <f t="shared" si="0"/>
        <v/>
      </c>
    </row>
    <row r="17" spans="30:32">
      <c r="AD17" t="str">
        <f>IF(A17="","",MIN(100,MAX(0,70+SUMIF('Credibility Log'!$B:$B,A17,'Credibility Log'!$E:$E))))</f>
        <v/>
      </c>
      <c r="AE17" t="str">
        <f>IF(AD17="","",IFS(AD17&gt;=90,"Level 5 - Ambassador",AD17&gt;=80,"Level 4 - Competition Eligible",AD17&gt;=70,"Level 3 - Trusted",AD17&gt;=60,"Level 2 - Active",AD17&gt;=50,"Level 1 - Watchlist",TRUE,"Level 0 - Restricted"))</f>
        <v/>
      </c>
      <c r="AF17" t="str">
        <f t="shared" si="0"/>
        <v/>
      </c>
    </row>
    <row r="18" spans="30:32">
      <c r="AD18" t="str">
        <f>IF(A18="","",MIN(100,MAX(0,70+SUMIF('Credibility Log'!$B:$B,A18,'Credibility Log'!$E:$E))))</f>
        <v/>
      </c>
      <c r="AE18" t="str">
        <f>IF(AD18="","",IFS(AD18&gt;=90,"Level 5 - Ambassador",AD18&gt;=80,"Level 4 - Competition Eligible",AD18&gt;=70,"Level 3 - Trusted",AD18&gt;=60,"Level 2 - Active",AD18&gt;=50,"Level 1 - Watchlist",TRUE,"Level 0 - Restricted"))</f>
        <v/>
      </c>
      <c r="AF18" t="str">
        <f t="shared" si="0"/>
        <v/>
      </c>
    </row>
    <row r="19" spans="30:32">
      <c r="AD19" t="str">
        <f>IF(A19="","",MIN(100,MAX(0,70+SUMIF('Credibility Log'!$B:$B,A19,'Credibility Log'!$E:$E))))</f>
        <v/>
      </c>
      <c r="AE19" t="str">
        <f>IF(AD19="","",IFS(AD19&gt;=90,"Level 5 - Ambassador",AD19&gt;=80,"Level 4 - Competition Eligible",AD19&gt;=70,"Level 3 - Trusted",AD19&gt;=60,"Level 2 - Active",AD19&gt;=50,"Level 1 - Watchlist",TRUE,"Level 0 - Restricted"))</f>
        <v/>
      </c>
      <c r="AF19" t="str">
        <f t="shared" si="0"/>
        <v/>
      </c>
    </row>
    <row r="20" spans="30:32">
      <c r="AD20" t="str">
        <f>IF(A20="","",MIN(100,MAX(0,70+SUMIF('Credibility Log'!$B:$B,A20,'Credibility Log'!$E:$E))))</f>
        <v/>
      </c>
      <c r="AE20" t="str">
        <f>IF(AD20="","",IFS(AD20&gt;=90,"Level 5 - Ambassador",AD20&gt;=80,"Level 4 - Competition Eligible",AD20&gt;=70,"Level 3 - Trusted",AD20&gt;=60,"Level 2 - Active",AD20&gt;=50,"Level 1 - Watchlist",TRUE,"Level 0 - Restricted"))</f>
        <v/>
      </c>
      <c r="AF20" t="str">
        <f t="shared" si="0"/>
        <v/>
      </c>
    </row>
    <row r="21" spans="30:32">
      <c r="AD21" t="str">
        <f>IF(A21="","",MIN(100,MAX(0,70+SUMIF('Credibility Log'!$B:$B,A21,'Credibility Log'!$E:$E))))</f>
        <v/>
      </c>
      <c r="AE21" t="str">
        <f>IF(AD21="","",IFS(AD21&gt;=90,"Level 5 - Ambassador",AD21&gt;=80,"Level 4 - Competition Eligible",AD21&gt;=70,"Level 3 - Trusted",AD21&gt;=60,"Level 2 - Active",AD21&gt;=50,"Level 1 - Watchlist",TRUE,"Level 0 - Restricted"))</f>
        <v/>
      </c>
      <c r="AF21" t="str">
        <f t="shared" si="0"/>
        <v/>
      </c>
    </row>
    <row r="22" spans="30:32">
      <c r="AD22" t="str">
        <f>IF(A22="","",MIN(100,MAX(0,70+SUMIF('Credibility Log'!$B:$B,A22,'Credibility Log'!$E:$E))))</f>
        <v/>
      </c>
      <c r="AE22" t="str">
        <f>IF(AD22="","",IFS(AD22&gt;=90,"Level 5 - Ambassador",AD22&gt;=80,"Level 4 - Competition Eligible",AD22&gt;=70,"Level 3 - Trusted",AD22&gt;=60,"Level 2 - Active",AD22&gt;=50,"Level 1 - Watchlist",TRUE,"Level 0 - Restricted"))</f>
        <v/>
      </c>
      <c r="AF22" t="str">
        <f t="shared" si="0"/>
        <v/>
      </c>
    </row>
    <row r="23" spans="30:32">
      <c r="AD23" t="str">
        <f>IF(A23="","",MIN(100,MAX(0,70+SUMIF('Credibility Log'!$B:$B,A23,'Credibility Log'!$E:$E))))</f>
        <v/>
      </c>
      <c r="AE23" t="str">
        <f>IF(AD23="","",IFS(AD23&gt;=90,"Level 5 - Ambassador",AD23&gt;=80,"Level 4 - Competition Eligible",AD23&gt;=70,"Level 3 - Trusted",AD23&gt;=60,"Level 2 - Active",AD23&gt;=50,"Level 1 - Watchlist",TRUE,"Level 0 - Restricted"))</f>
        <v/>
      </c>
      <c r="AF23" t="str">
        <f t="shared" si="0"/>
        <v/>
      </c>
    </row>
    <row r="24" spans="30:32">
      <c r="AD24" t="str">
        <f>IF(A24="","",MIN(100,MAX(0,70+SUMIF('Credibility Log'!$B:$B,A24,'Credibility Log'!$E:$E))))</f>
        <v/>
      </c>
      <c r="AE24" t="str">
        <f>IF(AD24="","",IFS(AD24&gt;=90,"Level 5 - Ambassador",AD24&gt;=80,"Level 4 - Competition Eligible",AD24&gt;=70,"Level 3 - Trusted",AD24&gt;=60,"Level 2 - Active",AD24&gt;=50,"Level 1 - Watchlist",TRUE,"Level 0 - Restricted"))</f>
        <v/>
      </c>
      <c r="AF24" t="str">
        <f t="shared" si="0"/>
        <v/>
      </c>
    </row>
    <row r="25" spans="30:32">
      <c r="AD25" t="str">
        <f>IF(A25="","",MIN(100,MAX(0,70+SUMIF('Credibility Log'!$B:$B,A25,'Credibility Log'!$E:$E))))</f>
        <v/>
      </c>
      <c r="AE25" t="str">
        <f>IF(AD25="","",IFS(AD25&gt;=90,"Level 5 - Ambassador",AD25&gt;=80,"Level 4 - Competition Eligible",AD25&gt;=70,"Level 3 - Trusted",AD25&gt;=60,"Level 2 - Active",AD25&gt;=50,"Level 1 - Watchlist",TRUE,"Level 0 - Restricted"))</f>
        <v/>
      </c>
      <c r="AF25" t="str">
        <f t="shared" si="0"/>
        <v/>
      </c>
    </row>
    <row r="26" spans="30:32">
      <c r="AD26" t="str">
        <f>IF(A26="","",MIN(100,MAX(0,70+SUMIF('Credibility Log'!$B:$B,A26,'Credibility Log'!$E:$E))))</f>
        <v/>
      </c>
      <c r="AE26" t="str">
        <f>IF(AD26="","",IFS(AD26&gt;=90,"Level 5 - Ambassador",AD26&gt;=80,"Level 4 - Competition Eligible",AD26&gt;=70,"Level 3 - Trusted",AD26&gt;=60,"Level 2 - Active",AD26&gt;=50,"Level 1 - Watchlist",TRUE,"Level 0 - Restricted"))</f>
        <v/>
      </c>
      <c r="AF26" t="str">
        <f t="shared" si="0"/>
        <v/>
      </c>
    </row>
    <row r="27" spans="30:32">
      <c r="AD27" t="str">
        <f>IF(A27="","",MIN(100,MAX(0,70+SUMIF('Credibility Log'!$B:$B,A27,'Credibility Log'!$E:$E))))</f>
        <v/>
      </c>
      <c r="AE27" t="str">
        <f>IF(AD27="","",IFS(AD27&gt;=90,"Level 5 - Ambassador",AD27&gt;=80,"Level 4 - Competition Eligible",AD27&gt;=70,"Level 3 - Trusted",AD27&gt;=60,"Level 2 - Active",AD27&gt;=50,"Level 1 - Watchlist",TRUE,"Level 0 - Restricted"))</f>
        <v/>
      </c>
      <c r="AF27" t="str">
        <f t="shared" si="0"/>
        <v/>
      </c>
    </row>
    <row r="28" spans="30:32">
      <c r="AD28" t="str">
        <f>IF(A28="","",MIN(100,MAX(0,70+SUMIF('Credibility Log'!$B:$B,A28,'Credibility Log'!$E:$E))))</f>
        <v/>
      </c>
      <c r="AE28" t="str">
        <f>IF(AD28="","",IFS(AD28&gt;=90,"Level 5 - Ambassador",AD28&gt;=80,"Level 4 - Competition Eligible",AD28&gt;=70,"Level 3 - Trusted",AD28&gt;=60,"Level 2 - Active",AD28&gt;=50,"Level 1 - Watchlist",TRUE,"Level 0 - Restricted"))</f>
        <v/>
      </c>
      <c r="AF28" t="str">
        <f t="shared" si="0"/>
        <v/>
      </c>
    </row>
    <row r="29" spans="30:32">
      <c r="AD29" t="str">
        <f>IF(A29="","",MIN(100,MAX(0,70+SUMIF('Credibility Log'!$B:$B,A29,'Credibility Log'!$E:$E))))</f>
        <v/>
      </c>
      <c r="AE29" t="str">
        <f>IF(AD29="","",IFS(AD29&gt;=90,"Level 5 - Ambassador",AD29&gt;=80,"Level 4 - Competition Eligible",AD29&gt;=70,"Level 3 - Trusted",AD29&gt;=60,"Level 2 - Active",AD29&gt;=50,"Level 1 - Watchlist",TRUE,"Level 0 - Restricted"))</f>
        <v/>
      </c>
      <c r="AF29" t="str">
        <f t="shared" si="0"/>
        <v/>
      </c>
    </row>
    <row r="30" spans="30:32">
      <c r="AD30" t="str">
        <f>IF(A30="","",MIN(100,MAX(0,70+SUMIF('Credibility Log'!$B:$B,A30,'Credibility Log'!$E:$E))))</f>
        <v/>
      </c>
      <c r="AE30" t="str">
        <f>IF(AD30="","",IFS(AD30&gt;=90,"Level 5 - Ambassador",AD30&gt;=80,"Level 4 - Competition Eligible",AD30&gt;=70,"Level 3 - Trusted",AD30&gt;=60,"Level 2 - Active",AD30&gt;=50,"Level 1 - Watchlist",TRUE,"Level 0 - Restricted"))</f>
        <v/>
      </c>
      <c r="AF30" t="str">
        <f t="shared" si="0"/>
        <v/>
      </c>
    </row>
    <row r="31" spans="30:32">
      <c r="AD31" t="str">
        <f>IF(A31="","",MIN(100,MAX(0,70+SUMIF('Credibility Log'!$B:$B,A31,'Credibility Log'!$E:$E))))</f>
        <v/>
      </c>
      <c r="AE31" t="str">
        <f>IF(AD31="","",IFS(AD31&gt;=90,"Level 5 - Ambassador",AD31&gt;=80,"Level 4 - Competition Eligible",AD31&gt;=70,"Level 3 - Trusted",AD31&gt;=60,"Level 2 - Active",AD31&gt;=50,"Level 1 - Watchlist",TRUE,"Level 0 - Restricted"))</f>
        <v/>
      </c>
      <c r="AF31" t="str">
        <f t="shared" si="0"/>
        <v/>
      </c>
    </row>
    <row r="32" spans="30:32">
      <c r="AD32" t="str">
        <f>IF(A32="","",MIN(100,MAX(0,70+SUMIF('Credibility Log'!$B:$B,A32,'Credibility Log'!$E:$E))))</f>
        <v/>
      </c>
      <c r="AE32" t="str">
        <f>IF(AD32="","",IFS(AD32&gt;=90,"Level 5 - Ambassador",AD32&gt;=80,"Level 4 - Competition Eligible",AD32&gt;=70,"Level 3 - Trusted",AD32&gt;=60,"Level 2 - Active",AD32&gt;=50,"Level 1 - Watchlist",TRUE,"Level 0 - Restricted"))</f>
        <v/>
      </c>
      <c r="AF32" t="str">
        <f t="shared" si="0"/>
        <v/>
      </c>
    </row>
    <row r="33" spans="30:32">
      <c r="AD33" t="str">
        <f>IF(A33="","",MIN(100,MAX(0,70+SUMIF('Credibility Log'!$B:$B,A33,'Credibility Log'!$E:$E))))</f>
        <v/>
      </c>
      <c r="AE33" t="str">
        <f>IF(AD33="","",IFS(AD33&gt;=90,"Level 5 - Ambassador",AD33&gt;=80,"Level 4 - Competition Eligible",AD33&gt;=70,"Level 3 - Trusted",AD33&gt;=60,"Level 2 - Active",AD33&gt;=50,"Level 1 - Watchlist",TRUE,"Level 0 - Restricted"))</f>
        <v/>
      </c>
      <c r="AF33" t="str">
        <f t="shared" si="0"/>
        <v/>
      </c>
    </row>
    <row r="34" spans="30:32">
      <c r="AD34" t="str">
        <f>IF(A34="","",MIN(100,MAX(0,70+SUMIF('Credibility Log'!$B:$B,A34,'Credibility Log'!$E:$E))))</f>
        <v/>
      </c>
      <c r="AE34" t="str">
        <f>IF(AD34="","",IFS(AD34&gt;=90,"Level 5 - Ambassador",AD34&gt;=80,"Level 4 - Competition Eligible",AD34&gt;=70,"Level 3 - Trusted",AD34&gt;=60,"Level 2 - Active",AD34&gt;=50,"Level 1 - Watchlist",TRUE,"Level 0 - Restricted"))</f>
        <v/>
      </c>
      <c r="AF34" t="str">
        <f t="shared" si="0"/>
        <v/>
      </c>
    </row>
    <row r="35" spans="30:32">
      <c r="AD35" t="str">
        <f>IF(A35="","",MIN(100,MAX(0,70+SUMIF('Credibility Log'!$B:$B,A35,'Credibility Log'!$E:$E))))</f>
        <v/>
      </c>
      <c r="AE35" t="str">
        <f>IF(AD35="","",IFS(AD35&gt;=90,"Level 5 - Ambassador",AD35&gt;=80,"Level 4 - Competition Eligible",AD35&gt;=70,"Level 3 - Trusted",AD35&gt;=60,"Level 2 - Active",AD35&gt;=50,"Level 1 - Watchlist",TRUE,"Level 0 - Restricted"))</f>
        <v/>
      </c>
      <c r="AF35" t="str">
        <f t="shared" si="0"/>
        <v/>
      </c>
    </row>
    <row r="36" spans="30:32">
      <c r="AD36" t="str">
        <f>IF(A36="","",MIN(100,MAX(0,70+SUMIF('Credibility Log'!$B:$B,A36,'Credibility Log'!$E:$E))))</f>
        <v/>
      </c>
      <c r="AE36" t="str">
        <f>IF(AD36="","",IFS(AD36&gt;=90,"Level 5 - Ambassador",AD36&gt;=80,"Level 4 - Competition Eligible",AD36&gt;=70,"Level 3 - Trusted",AD36&gt;=60,"Level 2 - Active",AD36&gt;=50,"Level 1 - Watchlist",TRUE,"Level 0 - Restricted"))</f>
        <v/>
      </c>
      <c r="AF36" t="str">
        <f t="shared" si="0"/>
        <v/>
      </c>
    </row>
    <row r="37" spans="30:32">
      <c r="AD37" t="str">
        <f>IF(A37="","",MIN(100,MAX(0,70+SUMIF('Credibility Log'!$B:$B,A37,'Credibility Log'!$E:$E))))</f>
        <v/>
      </c>
      <c r="AE37" t="str">
        <f>IF(AD37="","",IFS(AD37&gt;=90,"Level 5 - Ambassador",AD37&gt;=80,"Level 4 - Competition Eligible",AD37&gt;=70,"Level 3 - Trusted",AD37&gt;=60,"Level 2 - Active",AD37&gt;=50,"Level 1 - Watchlist",TRUE,"Level 0 - Restricted"))</f>
        <v/>
      </c>
      <c r="AF37" t="str">
        <f t="shared" ref="AF37:AF68" si="1">IF(AD37="","",IF(AD37&gt;=70,"Yes","No"))</f>
        <v/>
      </c>
    </row>
    <row r="38" spans="30:32">
      <c r="AD38" t="str">
        <f>IF(A38="","",MIN(100,MAX(0,70+SUMIF('Credibility Log'!$B:$B,A38,'Credibility Log'!$E:$E))))</f>
        <v/>
      </c>
      <c r="AE38" t="str">
        <f>IF(AD38="","",IFS(AD38&gt;=90,"Level 5 - Ambassador",AD38&gt;=80,"Level 4 - Competition Eligible",AD38&gt;=70,"Level 3 - Trusted",AD38&gt;=60,"Level 2 - Active",AD38&gt;=50,"Level 1 - Watchlist",TRUE,"Level 0 - Restricted"))</f>
        <v/>
      </c>
      <c r="AF38" t="str">
        <f t="shared" si="1"/>
        <v/>
      </c>
    </row>
    <row r="39" spans="30:32">
      <c r="AD39" t="str">
        <f>IF(A39="","",MIN(100,MAX(0,70+SUMIF('Credibility Log'!$B:$B,A39,'Credibility Log'!$E:$E))))</f>
        <v/>
      </c>
      <c r="AE39" t="str">
        <f>IF(AD39="","",IFS(AD39&gt;=90,"Level 5 - Ambassador",AD39&gt;=80,"Level 4 - Competition Eligible",AD39&gt;=70,"Level 3 - Trusted",AD39&gt;=60,"Level 2 - Active",AD39&gt;=50,"Level 1 - Watchlist",TRUE,"Level 0 - Restricted"))</f>
        <v/>
      </c>
      <c r="AF39" t="str">
        <f t="shared" si="1"/>
        <v/>
      </c>
    </row>
    <row r="40" spans="30:32">
      <c r="AD40" t="str">
        <f>IF(A40="","",MIN(100,MAX(0,70+SUMIF('Credibility Log'!$B:$B,A40,'Credibility Log'!$E:$E))))</f>
        <v/>
      </c>
      <c r="AE40" t="str">
        <f>IF(AD40="","",IFS(AD40&gt;=90,"Level 5 - Ambassador",AD40&gt;=80,"Level 4 - Competition Eligible",AD40&gt;=70,"Level 3 - Trusted",AD40&gt;=60,"Level 2 - Active",AD40&gt;=50,"Level 1 - Watchlist",TRUE,"Level 0 - Restricted"))</f>
        <v/>
      </c>
      <c r="AF40" t="str">
        <f t="shared" si="1"/>
        <v/>
      </c>
    </row>
    <row r="41" spans="30:32">
      <c r="AD41" t="str">
        <f>IF(A41="","",MIN(100,MAX(0,70+SUMIF('Credibility Log'!$B:$B,A41,'Credibility Log'!$E:$E))))</f>
        <v/>
      </c>
      <c r="AE41" t="str">
        <f>IF(AD41="","",IFS(AD41&gt;=90,"Level 5 - Ambassador",AD41&gt;=80,"Level 4 - Competition Eligible",AD41&gt;=70,"Level 3 - Trusted",AD41&gt;=60,"Level 2 - Active",AD41&gt;=50,"Level 1 - Watchlist",TRUE,"Level 0 - Restricted"))</f>
        <v/>
      </c>
      <c r="AF41" t="str">
        <f t="shared" si="1"/>
        <v/>
      </c>
    </row>
    <row r="42" spans="30:32">
      <c r="AD42" t="str">
        <f>IF(A42="","",MIN(100,MAX(0,70+SUMIF('Credibility Log'!$B:$B,A42,'Credibility Log'!$E:$E))))</f>
        <v/>
      </c>
      <c r="AE42" t="str">
        <f>IF(AD42="","",IFS(AD42&gt;=90,"Level 5 - Ambassador",AD42&gt;=80,"Level 4 - Competition Eligible",AD42&gt;=70,"Level 3 - Trusted",AD42&gt;=60,"Level 2 - Active",AD42&gt;=50,"Level 1 - Watchlist",TRUE,"Level 0 - Restricted"))</f>
        <v/>
      </c>
      <c r="AF42" t="str">
        <f t="shared" si="1"/>
        <v/>
      </c>
    </row>
    <row r="43" spans="30:32">
      <c r="AD43" t="str">
        <f>IF(A43="","",MIN(100,MAX(0,70+SUMIF('Credibility Log'!$B:$B,A43,'Credibility Log'!$E:$E))))</f>
        <v/>
      </c>
      <c r="AE43" t="str">
        <f>IF(AD43="","",IFS(AD43&gt;=90,"Level 5 - Ambassador",AD43&gt;=80,"Level 4 - Competition Eligible",AD43&gt;=70,"Level 3 - Trusted",AD43&gt;=60,"Level 2 - Active",AD43&gt;=50,"Level 1 - Watchlist",TRUE,"Level 0 - Restricted"))</f>
        <v/>
      </c>
      <c r="AF43" t="str">
        <f t="shared" si="1"/>
        <v/>
      </c>
    </row>
    <row r="44" spans="30:32">
      <c r="AD44" t="str">
        <f>IF(A44="","",MIN(100,MAX(0,70+SUMIF('Credibility Log'!$B:$B,A44,'Credibility Log'!$E:$E))))</f>
        <v/>
      </c>
      <c r="AE44" t="str">
        <f>IF(AD44="","",IFS(AD44&gt;=90,"Level 5 - Ambassador",AD44&gt;=80,"Level 4 - Competition Eligible",AD44&gt;=70,"Level 3 - Trusted",AD44&gt;=60,"Level 2 - Active",AD44&gt;=50,"Level 1 - Watchlist",TRUE,"Level 0 - Restricted"))</f>
        <v/>
      </c>
      <c r="AF44" t="str">
        <f t="shared" si="1"/>
        <v/>
      </c>
    </row>
    <row r="45" spans="30:32">
      <c r="AD45" t="str">
        <f>IF(A45="","",MIN(100,MAX(0,70+SUMIF('Credibility Log'!$B:$B,A45,'Credibility Log'!$E:$E))))</f>
        <v/>
      </c>
      <c r="AE45" t="str">
        <f>IF(AD45="","",IFS(AD45&gt;=90,"Level 5 - Ambassador",AD45&gt;=80,"Level 4 - Competition Eligible",AD45&gt;=70,"Level 3 - Trusted",AD45&gt;=60,"Level 2 - Active",AD45&gt;=50,"Level 1 - Watchlist",TRUE,"Level 0 - Restricted"))</f>
        <v/>
      </c>
      <c r="AF45" t="str">
        <f t="shared" si="1"/>
        <v/>
      </c>
    </row>
    <row r="46" spans="30:32">
      <c r="AD46" t="str">
        <f>IF(A46="","",MIN(100,MAX(0,70+SUMIF('Credibility Log'!$B:$B,A46,'Credibility Log'!$E:$E))))</f>
        <v/>
      </c>
      <c r="AE46" t="str">
        <f>IF(AD46="","",IFS(AD46&gt;=90,"Level 5 - Ambassador",AD46&gt;=80,"Level 4 - Competition Eligible",AD46&gt;=70,"Level 3 - Trusted",AD46&gt;=60,"Level 2 - Active",AD46&gt;=50,"Level 1 - Watchlist",TRUE,"Level 0 - Restricted"))</f>
        <v/>
      </c>
      <c r="AF46" t="str">
        <f t="shared" si="1"/>
        <v/>
      </c>
    </row>
    <row r="47" spans="30:32">
      <c r="AD47" t="str">
        <f>IF(A47="","",MIN(100,MAX(0,70+SUMIF('Credibility Log'!$B:$B,A47,'Credibility Log'!$E:$E))))</f>
        <v/>
      </c>
      <c r="AE47" t="str">
        <f>IF(AD47="","",IFS(AD47&gt;=90,"Level 5 - Ambassador",AD47&gt;=80,"Level 4 - Competition Eligible",AD47&gt;=70,"Level 3 - Trusted",AD47&gt;=60,"Level 2 - Active",AD47&gt;=50,"Level 1 - Watchlist",TRUE,"Level 0 - Restricted"))</f>
        <v/>
      </c>
      <c r="AF47" t="str">
        <f t="shared" si="1"/>
        <v/>
      </c>
    </row>
    <row r="48" spans="30:32">
      <c r="AD48" t="str">
        <f>IF(A48="","",MIN(100,MAX(0,70+SUMIF('Credibility Log'!$B:$B,A48,'Credibility Log'!$E:$E))))</f>
        <v/>
      </c>
      <c r="AE48" t="str">
        <f>IF(AD48="","",IFS(AD48&gt;=90,"Level 5 - Ambassador",AD48&gt;=80,"Level 4 - Competition Eligible",AD48&gt;=70,"Level 3 - Trusted",AD48&gt;=60,"Level 2 - Active",AD48&gt;=50,"Level 1 - Watchlist",TRUE,"Level 0 - Restricted"))</f>
        <v/>
      </c>
      <c r="AF48" t="str">
        <f t="shared" si="1"/>
        <v/>
      </c>
    </row>
    <row r="49" spans="30:32">
      <c r="AD49" t="str">
        <f>IF(A49="","",MIN(100,MAX(0,70+SUMIF('Credibility Log'!$B:$B,A49,'Credibility Log'!$E:$E))))</f>
        <v/>
      </c>
      <c r="AE49" t="str">
        <f>IF(AD49="","",IFS(AD49&gt;=90,"Level 5 - Ambassador",AD49&gt;=80,"Level 4 - Competition Eligible",AD49&gt;=70,"Level 3 - Trusted",AD49&gt;=60,"Level 2 - Active",AD49&gt;=50,"Level 1 - Watchlist",TRUE,"Level 0 - Restricted"))</f>
        <v/>
      </c>
      <c r="AF49" t="str">
        <f t="shared" si="1"/>
        <v/>
      </c>
    </row>
    <row r="50" spans="30:32">
      <c r="AD50" t="str">
        <f>IF(A50="","",MIN(100,MAX(0,70+SUMIF('Credibility Log'!$B:$B,A50,'Credibility Log'!$E:$E))))</f>
        <v/>
      </c>
      <c r="AE50" t="str">
        <f>IF(AD50="","",IFS(AD50&gt;=90,"Level 5 - Ambassador",AD50&gt;=80,"Level 4 - Competition Eligible",AD50&gt;=70,"Level 3 - Trusted",AD50&gt;=60,"Level 2 - Active",AD50&gt;=50,"Level 1 - Watchlist",TRUE,"Level 0 - Restricted"))</f>
        <v/>
      </c>
      <c r="AF50" t="str">
        <f t="shared" si="1"/>
        <v/>
      </c>
    </row>
    <row r="51" spans="30:32">
      <c r="AD51" t="str">
        <f>IF(A51="","",MIN(100,MAX(0,70+SUMIF('Credibility Log'!$B:$B,A51,'Credibility Log'!$E:$E))))</f>
        <v/>
      </c>
      <c r="AE51" t="str">
        <f>IF(AD51="","",IFS(AD51&gt;=90,"Level 5 - Ambassador",AD51&gt;=80,"Level 4 - Competition Eligible",AD51&gt;=70,"Level 3 - Trusted",AD51&gt;=60,"Level 2 - Active",AD51&gt;=50,"Level 1 - Watchlist",TRUE,"Level 0 - Restricted"))</f>
        <v/>
      </c>
      <c r="AF51" t="str">
        <f t="shared" si="1"/>
        <v/>
      </c>
    </row>
    <row r="52" spans="30:32">
      <c r="AD52" t="str">
        <f>IF(A52="","",MIN(100,MAX(0,70+SUMIF('Credibility Log'!$B:$B,A52,'Credibility Log'!$E:$E))))</f>
        <v/>
      </c>
      <c r="AE52" t="str">
        <f>IF(AD52="","",IFS(AD52&gt;=90,"Level 5 - Ambassador",AD52&gt;=80,"Level 4 - Competition Eligible",AD52&gt;=70,"Level 3 - Trusted",AD52&gt;=60,"Level 2 - Active",AD52&gt;=50,"Level 1 - Watchlist",TRUE,"Level 0 - Restricted"))</f>
        <v/>
      </c>
      <c r="AF52" t="str">
        <f t="shared" si="1"/>
        <v/>
      </c>
    </row>
    <row r="53" spans="30:32">
      <c r="AD53" t="str">
        <f>IF(A53="","",MIN(100,MAX(0,70+SUMIF('Credibility Log'!$B:$B,A53,'Credibility Log'!$E:$E))))</f>
        <v/>
      </c>
      <c r="AE53" t="str">
        <f>IF(AD53="","",IFS(AD53&gt;=90,"Level 5 - Ambassador",AD53&gt;=80,"Level 4 - Competition Eligible",AD53&gt;=70,"Level 3 - Trusted",AD53&gt;=60,"Level 2 - Active",AD53&gt;=50,"Level 1 - Watchlist",TRUE,"Level 0 - Restricted"))</f>
        <v/>
      </c>
      <c r="AF53" t="str">
        <f t="shared" si="1"/>
        <v/>
      </c>
    </row>
    <row r="54" spans="30:32">
      <c r="AD54" t="str">
        <f>IF(A54="","",MIN(100,MAX(0,70+SUMIF('Credibility Log'!$B:$B,A54,'Credibility Log'!$E:$E))))</f>
        <v/>
      </c>
      <c r="AE54" t="str">
        <f>IF(AD54="","",IFS(AD54&gt;=90,"Level 5 - Ambassador",AD54&gt;=80,"Level 4 - Competition Eligible",AD54&gt;=70,"Level 3 - Trusted",AD54&gt;=60,"Level 2 - Active",AD54&gt;=50,"Level 1 - Watchlist",TRUE,"Level 0 - Restricted"))</f>
        <v/>
      </c>
      <c r="AF54" t="str">
        <f t="shared" si="1"/>
        <v/>
      </c>
    </row>
    <row r="55" spans="30:32">
      <c r="AD55" t="str">
        <f>IF(A55="","",MIN(100,MAX(0,70+SUMIF('Credibility Log'!$B:$B,A55,'Credibility Log'!$E:$E))))</f>
        <v/>
      </c>
      <c r="AE55" t="str">
        <f>IF(AD55="","",IFS(AD55&gt;=90,"Level 5 - Ambassador",AD55&gt;=80,"Level 4 - Competition Eligible",AD55&gt;=70,"Level 3 - Trusted",AD55&gt;=60,"Level 2 - Active",AD55&gt;=50,"Level 1 - Watchlist",TRUE,"Level 0 - Restricted"))</f>
        <v/>
      </c>
      <c r="AF55" t="str">
        <f t="shared" si="1"/>
        <v/>
      </c>
    </row>
    <row r="56" spans="30:32">
      <c r="AD56" t="str">
        <f>IF(A56="","",MIN(100,MAX(0,70+SUMIF('Credibility Log'!$B:$B,A56,'Credibility Log'!$E:$E))))</f>
        <v/>
      </c>
      <c r="AE56" t="str">
        <f>IF(AD56="","",IFS(AD56&gt;=90,"Level 5 - Ambassador",AD56&gt;=80,"Level 4 - Competition Eligible",AD56&gt;=70,"Level 3 - Trusted",AD56&gt;=60,"Level 2 - Active",AD56&gt;=50,"Level 1 - Watchlist",TRUE,"Level 0 - Restricted"))</f>
        <v/>
      </c>
      <c r="AF56" t="str">
        <f t="shared" si="1"/>
        <v/>
      </c>
    </row>
    <row r="57" spans="30:32">
      <c r="AD57" t="str">
        <f>IF(A57="","",MIN(100,MAX(0,70+SUMIF('Credibility Log'!$B:$B,A57,'Credibility Log'!$E:$E))))</f>
        <v/>
      </c>
      <c r="AE57" t="str">
        <f>IF(AD57="","",IFS(AD57&gt;=90,"Level 5 - Ambassador",AD57&gt;=80,"Level 4 - Competition Eligible",AD57&gt;=70,"Level 3 - Trusted",AD57&gt;=60,"Level 2 - Active",AD57&gt;=50,"Level 1 - Watchlist",TRUE,"Level 0 - Restricted"))</f>
        <v/>
      </c>
      <c r="AF57" t="str">
        <f t="shared" si="1"/>
        <v/>
      </c>
    </row>
    <row r="58" spans="30:32">
      <c r="AD58" t="str">
        <f>IF(A58="","",MIN(100,MAX(0,70+SUMIF('Credibility Log'!$B:$B,A58,'Credibility Log'!$E:$E))))</f>
        <v/>
      </c>
      <c r="AE58" t="str">
        <f>IF(AD58="","",IFS(AD58&gt;=90,"Level 5 - Ambassador",AD58&gt;=80,"Level 4 - Competition Eligible",AD58&gt;=70,"Level 3 - Trusted",AD58&gt;=60,"Level 2 - Active",AD58&gt;=50,"Level 1 - Watchlist",TRUE,"Level 0 - Restricted"))</f>
        <v/>
      </c>
      <c r="AF58" t="str">
        <f t="shared" si="1"/>
        <v/>
      </c>
    </row>
    <row r="59" spans="30:32">
      <c r="AD59" t="str">
        <f>IF(A59="","",MIN(100,MAX(0,70+SUMIF('Credibility Log'!$B:$B,A59,'Credibility Log'!$E:$E))))</f>
        <v/>
      </c>
      <c r="AE59" t="str">
        <f>IF(AD59="","",IFS(AD59&gt;=90,"Level 5 - Ambassador",AD59&gt;=80,"Level 4 - Competition Eligible",AD59&gt;=70,"Level 3 - Trusted",AD59&gt;=60,"Level 2 - Active",AD59&gt;=50,"Level 1 - Watchlist",TRUE,"Level 0 - Restricted"))</f>
        <v/>
      </c>
      <c r="AF59" t="str">
        <f t="shared" si="1"/>
        <v/>
      </c>
    </row>
    <row r="60" spans="30:32">
      <c r="AD60" t="str">
        <f>IF(A60="","",MIN(100,MAX(0,70+SUMIF('Credibility Log'!$B:$B,A60,'Credibility Log'!$E:$E))))</f>
        <v/>
      </c>
      <c r="AE60" t="str">
        <f>IF(AD60="","",IFS(AD60&gt;=90,"Level 5 - Ambassador",AD60&gt;=80,"Level 4 - Competition Eligible",AD60&gt;=70,"Level 3 - Trusted",AD60&gt;=60,"Level 2 - Active",AD60&gt;=50,"Level 1 - Watchlist",TRUE,"Level 0 - Restricted"))</f>
        <v/>
      </c>
      <c r="AF60" t="str">
        <f t="shared" si="1"/>
        <v/>
      </c>
    </row>
    <row r="61" spans="30:32">
      <c r="AD61" t="str">
        <f>IF(A61="","",MIN(100,MAX(0,70+SUMIF('Credibility Log'!$B:$B,A61,'Credibility Log'!$E:$E))))</f>
        <v/>
      </c>
      <c r="AE61" t="str">
        <f>IF(AD61="","",IFS(AD61&gt;=90,"Level 5 - Ambassador",AD61&gt;=80,"Level 4 - Competition Eligible",AD61&gt;=70,"Level 3 - Trusted",AD61&gt;=60,"Level 2 - Active",AD61&gt;=50,"Level 1 - Watchlist",TRUE,"Level 0 - Restricted"))</f>
        <v/>
      </c>
      <c r="AF61" t="str">
        <f t="shared" si="1"/>
        <v/>
      </c>
    </row>
    <row r="62" spans="30:32">
      <c r="AD62" t="str">
        <f>IF(A62="","",MIN(100,MAX(0,70+SUMIF('Credibility Log'!$B:$B,A62,'Credibility Log'!$E:$E))))</f>
        <v/>
      </c>
      <c r="AE62" t="str">
        <f>IF(AD62="","",IFS(AD62&gt;=90,"Level 5 - Ambassador",AD62&gt;=80,"Level 4 - Competition Eligible",AD62&gt;=70,"Level 3 - Trusted",AD62&gt;=60,"Level 2 - Active",AD62&gt;=50,"Level 1 - Watchlist",TRUE,"Level 0 - Restricted"))</f>
        <v/>
      </c>
      <c r="AF62" t="str">
        <f t="shared" si="1"/>
        <v/>
      </c>
    </row>
    <row r="63" spans="30:32">
      <c r="AD63" t="str">
        <f>IF(A63="","",MIN(100,MAX(0,70+SUMIF('Credibility Log'!$B:$B,A63,'Credibility Log'!$E:$E))))</f>
        <v/>
      </c>
      <c r="AE63" t="str">
        <f>IF(AD63="","",IFS(AD63&gt;=90,"Level 5 - Ambassador",AD63&gt;=80,"Level 4 - Competition Eligible",AD63&gt;=70,"Level 3 - Trusted",AD63&gt;=60,"Level 2 - Active",AD63&gt;=50,"Level 1 - Watchlist",TRUE,"Level 0 - Restricted"))</f>
        <v/>
      </c>
      <c r="AF63" t="str">
        <f t="shared" si="1"/>
        <v/>
      </c>
    </row>
    <row r="64" spans="30:32">
      <c r="AD64" t="str">
        <f>IF(A64="","",MIN(100,MAX(0,70+SUMIF('Credibility Log'!$B:$B,A64,'Credibility Log'!$E:$E))))</f>
        <v/>
      </c>
      <c r="AE64" t="str">
        <f>IF(AD64="","",IFS(AD64&gt;=90,"Level 5 - Ambassador",AD64&gt;=80,"Level 4 - Competition Eligible",AD64&gt;=70,"Level 3 - Trusted",AD64&gt;=60,"Level 2 - Active",AD64&gt;=50,"Level 1 - Watchlist",TRUE,"Level 0 - Restricted"))</f>
        <v/>
      </c>
      <c r="AF64" t="str">
        <f t="shared" si="1"/>
        <v/>
      </c>
    </row>
    <row r="65" spans="30:32">
      <c r="AD65" t="str">
        <f>IF(A65="","",MIN(100,MAX(0,70+SUMIF('Credibility Log'!$B:$B,A65,'Credibility Log'!$E:$E))))</f>
        <v/>
      </c>
      <c r="AE65" t="str">
        <f>IF(AD65="","",IFS(AD65&gt;=90,"Level 5 - Ambassador",AD65&gt;=80,"Level 4 - Competition Eligible",AD65&gt;=70,"Level 3 - Trusted",AD65&gt;=60,"Level 2 - Active",AD65&gt;=50,"Level 1 - Watchlist",TRUE,"Level 0 - Restricted"))</f>
        <v/>
      </c>
      <c r="AF65" t="str">
        <f t="shared" si="1"/>
        <v/>
      </c>
    </row>
    <row r="66" spans="30:32">
      <c r="AD66" t="str">
        <f>IF(A66="","",MIN(100,MAX(0,70+SUMIF('Credibility Log'!$B:$B,A66,'Credibility Log'!$E:$E))))</f>
        <v/>
      </c>
      <c r="AE66" t="str">
        <f>IF(AD66="","",IFS(AD66&gt;=90,"Level 5 - Ambassador",AD66&gt;=80,"Level 4 - Competition Eligible",AD66&gt;=70,"Level 3 - Trusted",AD66&gt;=60,"Level 2 - Active",AD66&gt;=50,"Level 1 - Watchlist",TRUE,"Level 0 - Restricted"))</f>
        <v/>
      </c>
      <c r="AF66" t="str">
        <f t="shared" si="1"/>
        <v/>
      </c>
    </row>
    <row r="67" spans="30:32">
      <c r="AD67" t="str">
        <f>IF(A67="","",MIN(100,MAX(0,70+SUMIF('Credibility Log'!$B:$B,A67,'Credibility Log'!$E:$E))))</f>
        <v/>
      </c>
      <c r="AE67" t="str">
        <f>IF(AD67="","",IFS(AD67&gt;=90,"Level 5 - Ambassador",AD67&gt;=80,"Level 4 - Competition Eligible",AD67&gt;=70,"Level 3 - Trusted",AD67&gt;=60,"Level 2 - Active",AD67&gt;=50,"Level 1 - Watchlist",TRUE,"Level 0 - Restricted"))</f>
        <v/>
      </c>
      <c r="AF67" t="str">
        <f t="shared" si="1"/>
        <v/>
      </c>
    </row>
    <row r="68" spans="30:32">
      <c r="AD68" t="str">
        <f>IF(A68="","",MIN(100,MAX(0,70+SUMIF('Credibility Log'!$B:$B,A68,'Credibility Log'!$E:$E))))</f>
        <v/>
      </c>
      <c r="AE68" t="str">
        <f>IF(AD68="","",IFS(AD68&gt;=90,"Level 5 - Ambassador",AD68&gt;=80,"Level 4 - Competition Eligible",AD68&gt;=70,"Level 3 - Trusted",AD68&gt;=60,"Level 2 - Active",AD68&gt;=50,"Level 1 - Watchlist",TRUE,"Level 0 - Restricted"))</f>
        <v/>
      </c>
      <c r="AF68" t="str">
        <f t="shared" si="1"/>
        <v/>
      </c>
    </row>
    <row r="69" spans="30:32">
      <c r="AD69" t="str">
        <f>IF(A69="","",MIN(100,MAX(0,70+SUMIF('Credibility Log'!$B:$B,A69,'Credibility Log'!$E:$E))))</f>
        <v/>
      </c>
      <c r="AE69" t="str">
        <f>IF(AD69="","",IFS(AD69&gt;=90,"Level 5 - Ambassador",AD69&gt;=80,"Level 4 - Competition Eligible",AD69&gt;=70,"Level 3 - Trusted",AD69&gt;=60,"Level 2 - Active",AD69&gt;=50,"Level 1 - Watchlist",TRUE,"Level 0 - Restricted"))</f>
        <v/>
      </c>
      <c r="AF69" t="str">
        <f t="shared" ref="AF69:AF100" si="2">IF(AD69="","",IF(AD69&gt;=70,"Yes","No"))</f>
        <v/>
      </c>
    </row>
    <row r="70" spans="30:32">
      <c r="AD70" t="str">
        <f>IF(A70="","",MIN(100,MAX(0,70+SUMIF('Credibility Log'!$B:$B,A70,'Credibility Log'!$E:$E))))</f>
        <v/>
      </c>
      <c r="AE70" t="str">
        <f>IF(AD70="","",IFS(AD70&gt;=90,"Level 5 - Ambassador",AD70&gt;=80,"Level 4 - Competition Eligible",AD70&gt;=70,"Level 3 - Trusted",AD70&gt;=60,"Level 2 - Active",AD70&gt;=50,"Level 1 - Watchlist",TRUE,"Level 0 - Restricted"))</f>
        <v/>
      </c>
      <c r="AF70" t="str">
        <f t="shared" si="2"/>
        <v/>
      </c>
    </row>
    <row r="71" spans="30:32">
      <c r="AD71" t="str">
        <f>IF(A71="","",MIN(100,MAX(0,70+SUMIF('Credibility Log'!$B:$B,A71,'Credibility Log'!$E:$E))))</f>
        <v/>
      </c>
      <c r="AE71" t="str">
        <f>IF(AD71="","",IFS(AD71&gt;=90,"Level 5 - Ambassador",AD71&gt;=80,"Level 4 - Competition Eligible",AD71&gt;=70,"Level 3 - Trusted",AD71&gt;=60,"Level 2 - Active",AD71&gt;=50,"Level 1 - Watchlist",TRUE,"Level 0 - Restricted"))</f>
        <v/>
      </c>
      <c r="AF71" t="str">
        <f t="shared" si="2"/>
        <v/>
      </c>
    </row>
    <row r="72" spans="30:32">
      <c r="AD72" t="str">
        <f>IF(A72="","",MIN(100,MAX(0,70+SUMIF('Credibility Log'!$B:$B,A72,'Credibility Log'!$E:$E))))</f>
        <v/>
      </c>
      <c r="AE72" t="str">
        <f>IF(AD72="","",IFS(AD72&gt;=90,"Level 5 - Ambassador",AD72&gt;=80,"Level 4 - Competition Eligible",AD72&gt;=70,"Level 3 - Trusted",AD72&gt;=60,"Level 2 - Active",AD72&gt;=50,"Level 1 - Watchlist",TRUE,"Level 0 - Restricted"))</f>
        <v/>
      </c>
      <c r="AF72" t="str">
        <f t="shared" si="2"/>
        <v/>
      </c>
    </row>
    <row r="73" spans="30:32">
      <c r="AD73" t="str">
        <f>IF(A73="","",MIN(100,MAX(0,70+SUMIF('Credibility Log'!$B:$B,A73,'Credibility Log'!$E:$E))))</f>
        <v/>
      </c>
      <c r="AE73" t="str">
        <f>IF(AD73="","",IFS(AD73&gt;=90,"Level 5 - Ambassador",AD73&gt;=80,"Level 4 - Competition Eligible",AD73&gt;=70,"Level 3 - Trusted",AD73&gt;=60,"Level 2 - Active",AD73&gt;=50,"Level 1 - Watchlist",TRUE,"Level 0 - Restricted"))</f>
        <v/>
      </c>
      <c r="AF73" t="str">
        <f t="shared" si="2"/>
        <v/>
      </c>
    </row>
    <row r="74" spans="30:32">
      <c r="AD74" t="str">
        <f>IF(A74="","",MIN(100,MAX(0,70+SUMIF('Credibility Log'!$B:$B,A74,'Credibility Log'!$E:$E))))</f>
        <v/>
      </c>
      <c r="AE74" t="str">
        <f>IF(AD74="","",IFS(AD74&gt;=90,"Level 5 - Ambassador",AD74&gt;=80,"Level 4 - Competition Eligible",AD74&gt;=70,"Level 3 - Trusted",AD74&gt;=60,"Level 2 - Active",AD74&gt;=50,"Level 1 - Watchlist",TRUE,"Level 0 - Restricted"))</f>
        <v/>
      </c>
      <c r="AF74" t="str">
        <f t="shared" si="2"/>
        <v/>
      </c>
    </row>
    <row r="75" spans="30:32">
      <c r="AD75" t="str">
        <f>IF(A75="","",MIN(100,MAX(0,70+SUMIF('Credibility Log'!$B:$B,A75,'Credibility Log'!$E:$E))))</f>
        <v/>
      </c>
      <c r="AE75" t="str">
        <f>IF(AD75="","",IFS(AD75&gt;=90,"Level 5 - Ambassador",AD75&gt;=80,"Level 4 - Competition Eligible",AD75&gt;=70,"Level 3 - Trusted",AD75&gt;=60,"Level 2 - Active",AD75&gt;=50,"Level 1 - Watchlist",TRUE,"Level 0 - Restricted"))</f>
        <v/>
      </c>
      <c r="AF75" t="str">
        <f t="shared" si="2"/>
        <v/>
      </c>
    </row>
    <row r="76" spans="30:32">
      <c r="AD76" t="str">
        <f>IF(A76="","",MIN(100,MAX(0,70+SUMIF('Credibility Log'!$B:$B,A76,'Credibility Log'!$E:$E))))</f>
        <v/>
      </c>
      <c r="AE76" t="str">
        <f>IF(AD76="","",IFS(AD76&gt;=90,"Level 5 - Ambassador",AD76&gt;=80,"Level 4 - Competition Eligible",AD76&gt;=70,"Level 3 - Trusted",AD76&gt;=60,"Level 2 - Active",AD76&gt;=50,"Level 1 - Watchlist",TRUE,"Level 0 - Restricted"))</f>
        <v/>
      </c>
      <c r="AF76" t="str">
        <f t="shared" si="2"/>
        <v/>
      </c>
    </row>
    <row r="77" spans="30:32">
      <c r="AD77" t="str">
        <f>IF(A77="","",MIN(100,MAX(0,70+SUMIF('Credibility Log'!$B:$B,A77,'Credibility Log'!$E:$E))))</f>
        <v/>
      </c>
      <c r="AE77" t="str">
        <f>IF(AD77="","",IFS(AD77&gt;=90,"Level 5 - Ambassador",AD77&gt;=80,"Level 4 - Competition Eligible",AD77&gt;=70,"Level 3 - Trusted",AD77&gt;=60,"Level 2 - Active",AD77&gt;=50,"Level 1 - Watchlist",TRUE,"Level 0 - Restricted"))</f>
        <v/>
      </c>
      <c r="AF77" t="str">
        <f t="shared" si="2"/>
        <v/>
      </c>
    </row>
    <row r="78" spans="30:32">
      <c r="AD78" t="str">
        <f>IF(A78="","",MIN(100,MAX(0,70+SUMIF('Credibility Log'!$B:$B,A78,'Credibility Log'!$E:$E))))</f>
        <v/>
      </c>
      <c r="AE78" t="str">
        <f>IF(AD78="","",IFS(AD78&gt;=90,"Level 5 - Ambassador",AD78&gt;=80,"Level 4 - Competition Eligible",AD78&gt;=70,"Level 3 - Trusted",AD78&gt;=60,"Level 2 - Active",AD78&gt;=50,"Level 1 - Watchlist",TRUE,"Level 0 - Restricted"))</f>
        <v/>
      </c>
      <c r="AF78" t="str">
        <f t="shared" si="2"/>
        <v/>
      </c>
    </row>
    <row r="79" spans="30:32">
      <c r="AD79" t="str">
        <f>IF(A79="","",MIN(100,MAX(0,70+SUMIF('Credibility Log'!$B:$B,A79,'Credibility Log'!$E:$E))))</f>
        <v/>
      </c>
      <c r="AE79" t="str">
        <f>IF(AD79="","",IFS(AD79&gt;=90,"Level 5 - Ambassador",AD79&gt;=80,"Level 4 - Competition Eligible",AD79&gt;=70,"Level 3 - Trusted",AD79&gt;=60,"Level 2 - Active",AD79&gt;=50,"Level 1 - Watchlist",TRUE,"Level 0 - Restricted"))</f>
        <v/>
      </c>
      <c r="AF79" t="str">
        <f t="shared" si="2"/>
        <v/>
      </c>
    </row>
    <row r="80" spans="30:32">
      <c r="AD80" t="str">
        <f>IF(A80="","",MIN(100,MAX(0,70+SUMIF('Credibility Log'!$B:$B,A80,'Credibility Log'!$E:$E))))</f>
        <v/>
      </c>
      <c r="AE80" t="str">
        <f>IF(AD80="","",IFS(AD80&gt;=90,"Level 5 - Ambassador",AD80&gt;=80,"Level 4 - Competition Eligible",AD80&gt;=70,"Level 3 - Trusted",AD80&gt;=60,"Level 2 - Active",AD80&gt;=50,"Level 1 - Watchlist",TRUE,"Level 0 - Restricted"))</f>
        <v/>
      </c>
      <c r="AF80" t="str">
        <f t="shared" si="2"/>
        <v/>
      </c>
    </row>
    <row r="81" spans="30:32">
      <c r="AD81" t="str">
        <f>IF(A81="","",MIN(100,MAX(0,70+SUMIF('Credibility Log'!$B:$B,A81,'Credibility Log'!$E:$E))))</f>
        <v/>
      </c>
      <c r="AE81" t="str">
        <f>IF(AD81="","",IFS(AD81&gt;=90,"Level 5 - Ambassador",AD81&gt;=80,"Level 4 - Competition Eligible",AD81&gt;=70,"Level 3 - Trusted",AD81&gt;=60,"Level 2 - Active",AD81&gt;=50,"Level 1 - Watchlist",TRUE,"Level 0 - Restricted"))</f>
        <v/>
      </c>
      <c r="AF81" t="str">
        <f t="shared" si="2"/>
        <v/>
      </c>
    </row>
    <row r="82" spans="30:32">
      <c r="AD82" t="str">
        <f>IF(A82="","",MIN(100,MAX(0,70+SUMIF('Credibility Log'!$B:$B,A82,'Credibility Log'!$E:$E))))</f>
        <v/>
      </c>
      <c r="AE82" t="str">
        <f>IF(AD82="","",IFS(AD82&gt;=90,"Level 5 - Ambassador",AD82&gt;=80,"Level 4 - Competition Eligible",AD82&gt;=70,"Level 3 - Trusted",AD82&gt;=60,"Level 2 - Active",AD82&gt;=50,"Level 1 - Watchlist",TRUE,"Level 0 - Restricted"))</f>
        <v/>
      </c>
      <c r="AF82" t="str">
        <f t="shared" si="2"/>
        <v/>
      </c>
    </row>
    <row r="83" spans="30:32">
      <c r="AD83" t="str">
        <f>IF(A83="","",MIN(100,MAX(0,70+SUMIF('Credibility Log'!$B:$B,A83,'Credibility Log'!$E:$E))))</f>
        <v/>
      </c>
      <c r="AE83" t="str">
        <f>IF(AD83="","",IFS(AD83&gt;=90,"Level 5 - Ambassador",AD83&gt;=80,"Level 4 - Competition Eligible",AD83&gt;=70,"Level 3 - Trusted",AD83&gt;=60,"Level 2 - Active",AD83&gt;=50,"Level 1 - Watchlist",TRUE,"Level 0 - Restricted"))</f>
        <v/>
      </c>
      <c r="AF83" t="str">
        <f t="shared" si="2"/>
        <v/>
      </c>
    </row>
    <row r="84" spans="30:32">
      <c r="AD84" t="str">
        <f>IF(A84="","",MIN(100,MAX(0,70+SUMIF('Credibility Log'!$B:$B,A84,'Credibility Log'!$E:$E))))</f>
        <v/>
      </c>
      <c r="AE84" t="str">
        <f>IF(AD84="","",IFS(AD84&gt;=90,"Level 5 - Ambassador",AD84&gt;=80,"Level 4 - Competition Eligible",AD84&gt;=70,"Level 3 - Trusted",AD84&gt;=60,"Level 2 - Active",AD84&gt;=50,"Level 1 - Watchlist",TRUE,"Level 0 - Restricted"))</f>
        <v/>
      </c>
      <c r="AF84" t="str">
        <f t="shared" si="2"/>
        <v/>
      </c>
    </row>
    <row r="85" spans="30:32">
      <c r="AD85" t="str">
        <f>IF(A85="","",MIN(100,MAX(0,70+SUMIF('Credibility Log'!$B:$B,A85,'Credibility Log'!$E:$E))))</f>
        <v/>
      </c>
      <c r="AE85" t="str">
        <f>IF(AD85="","",IFS(AD85&gt;=90,"Level 5 - Ambassador",AD85&gt;=80,"Level 4 - Competition Eligible",AD85&gt;=70,"Level 3 - Trusted",AD85&gt;=60,"Level 2 - Active",AD85&gt;=50,"Level 1 - Watchlist",TRUE,"Level 0 - Restricted"))</f>
        <v/>
      </c>
      <c r="AF85" t="str">
        <f t="shared" si="2"/>
        <v/>
      </c>
    </row>
    <row r="86" spans="30:32">
      <c r="AD86" t="str">
        <f>IF(A86="","",MIN(100,MAX(0,70+SUMIF('Credibility Log'!$B:$B,A86,'Credibility Log'!$E:$E))))</f>
        <v/>
      </c>
      <c r="AE86" t="str">
        <f>IF(AD86="","",IFS(AD86&gt;=90,"Level 5 - Ambassador",AD86&gt;=80,"Level 4 - Competition Eligible",AD86&gt;=70,"Level 3 - Trusted",AD86&gt;=60,"Level 2 - Active",AD86&gt;=50,"Level 1 - Watchlist",TRUE,"Level 0 - Restricted"))</f>
        <v/>
      </c>
      <c r="AF86" t="str">
        <f t="shared" si="2"/>
        <v/>
      </c>
    </row>
    <row r="87" spans="30:32">
      <c r="AD87" t="str">
        <f>IF(A87="","",MIN(100,MAX(0,70+SUMIF('Credibility Log'!$B:$B,A87,'Credibility Log'!$E:$E))))</f>
        <v/>
      </c>
      <c r="AE87" t="str">
        <f>IF(AD87="","",IFS(AD87&gt;=90,"Level 5 - Ambassador",AD87&gt;=80,"Level 4 - Competition Eligible",AD87&gt;=70,"Level 3 - Trusted",AD87&gt;=60,"Level 2 - Active",AD87&gt;=50,"Level 1 - Watchlist",TRUE,"Level 0 - Restricted"))</f>
        <v/>
      </c>
      <c r="AF87" t="str">
        <f t="shared" si="2"/>
        <v/>
      </c>
    </row>
    <row r="88" spans="30:32">
      <c r="AD88" t="str">
        <f>IF(A88="","",MIN(100,MAX(0,70+SUMIF('Credibility Log'!$B:$B,A88,'Credibility Log'!$E:$E))))</f>
        <v/>
      </c>
      <c r="AE88" t="str">
        <f>IF(AD88="","",IFS(AD88&gt;=90,"Level 5 - Ambassador",AD88&gt;=80,"Level 4 - Competition Eligible",AD88&gt;=70,"Level 3 - Trusted",AD88&gt;=60,"Level 2 - Active",AD88&gt;=50,"Level 1 - Watchlist",TRUE,"Level 0 - Restricted"))</f>
        <v/>
      </c>
      <c r="AF88" t="str">
        <f t="shared" si="2"/>
        <v/>
      </c>
    </row>
    <row r="89" spans="30:32">
      <c r="AD89" t="str">
        <f>IF(A89="","",MIN(100,MAX(0,70+SUMIF('Credibility Log'!$B:$B,A89,'Credibility Log'!$E:$E))))</f>
        <v/>
      </c>
      <c r="AE89" t="str">
        <f>IF(AD89="","",IFS(AD89&gt;=90,"Level 5 - Ambassador",AD89&gt;=80,"Level 4 - Competition Eligible",AD89&gt;=70,"Level 3 - Trusted",AD89&gt;=60,"Level 2 - Active",AD89&gt;=50,"Level 1 - Watchlist",TRUE,"Level 0 - Restricted"))</f>
        <v/>
      </c>
      <c r="AF89" t="str">
        <f t="shared" si="2"/>
        <v/>
      </c>
    </row>
    <row r="90" spans="30:32">
      <c r="AD90" t="str">
        <f>IF(A90="","",MIN(100,MAX(0,70+SUMIF('Credibility Log'!$B:$B,A90,'Credibility Log'!$E:$E))))</f>
        <v/>
      </c>
      <c r="AE90" t="str">
        <f>IF(AD90="","",IFS(AD90&gt;=90,"Level 5 - Ambassador",AD90&gt;=80,"Level 4 - Competition Eligible",AD90&gt;=70,"Level 3 - Trusted",AD90&gt;=60,"Level 2 - Active",AD90&gt;=50,"Level 1 - Watchlist",TRUE,"Level 0 - Restricted"))</f>
        <v/>
      </c>
      <c r="AF90" t="str">
        <f t="shared" si="2"/>
        <v/>
      </c>
    </row>
    <row r="91" spans="30:32">
      <c r="AD91" t="str">
        <f>IF(A91="","",MIN(100,MAX(0,70+SUMIF('Credibility Log'!$B:$B,A91,'Credibility Log'!$E:$E))))</f>
        <v/>
      </c>
      <c r="AE91" t="str">
        <f>IF(AD91="","",IFS(AD91&gt;=90,"Level 5 - Ambassador",AD91&gt;=80,"Level 4 - Competition Eligible",AD91&gt;=70,"Level 3 - Trusted",AD91&gt;=60,"Level 2 - Active",AD91&gt;=50,"Level 1 - Watchlist",TRUE,"Level 0 - Restricted"))</f>
        <v/>
      </c>
      <c r="AF91" t="str">
        <f t="shared" si="2"/>
        <v/>
      </c>
    </row>
    <row r="92" spans="30:32">
      <c r="AD92" t="str">
        <f>IF(A92="","",MIN(100,MAX(0,70+SUMIF('Credibility Log'!$B:$B,A92,'Credibility Log'!$E:$E))))</f>
        <v/>
      </c>
      <c r="AE92" t="str">
        <f>IF(AD92="","",IFS(AD92&gt;=90,"Level 5 - Ambassador",AD92&gt;=80,"Level 4 - Competition Eligible",AD92&gt;=70,"Level 3 - Trusted",AD92&gt;=60,"Level 2 - Active",AD92&gt;=50,"Level 1 - Watchlist",TRUE,"Level 0 - Restricted"))</f>
        <v/>
      </c>
      <c r="AF92" t="str">
        <f t="shared" si="2"/>
        <v/>
      </c>
    </row>
    <row r="93" spans="30:32">
      <c r="AD93" t="str">
        <f>IF(A93="","",MIN(100,MAX(0,70+SUMIF('Credibility Log'!$B:$B,A93,'Credibility Log'!$E:$E))))</f>
        <v/>
      </c>
      <c r="AE93" t="str">
        <f>IF(AD93="","",IFS(AD93&gt;=90,"Level 5 - Ambassador",AD93&gt;=80,"Level 4 - Competition Eligible",AD93&gt;=70,"Level 3 - Trusted",AD93&gt;=60,"Level 2 - Active",AD93&gt;=50,"Level 1 - Watchlist",TRUE,"Level 0 - Restricted"))</f>
        <v/>
      </c>
      <c r="AF93" t="str">
        <f t="shared" si="2"/>
        <v/>
      </c>
    </row>
    <row r="94" spans="30:32">
      <c r="AD94" t="str">
        <f>IF(A94="","",MIN(100,MAX(0,70+SUMIF('Credibility Log'!$B:$B,A94,'Credibility Log'!$E:$E))))</f>
        <v/>
      </c>
      <c r="AE94" t="str">
        <f>IF(AD94="","",IFS(AD94&gt;=90,"Level 5 - Ambassador",AD94&gt;=80,"Level 4 - Competition Eligible",AD94&gt;=70,"Level 3 - Trusted",AD94&gt;=60,"Level 2 - Active",AD94&gt;=50,"Level 1 - Watchlist",TRUE,"Level 0 - Restricted"))</f>
        <v/>
      </c>
      <c r="AF94" t="str">
        <f t="shared" si="2"/>
        <v/>
      </c>
    </row>
    <row r="95" spans="30:32">
      <c r="AD95" t="str">
        <f>IF(A95="","",MIN(100,MAX(0,70+SUMIF('Credibility Log'!$B:$B,A95,'Credibility Log'!$E:$E))))</f>
        <v/>
      </c>
      <c r="AE95" t="str">
        <f>IF(AD95="","",IFS(AD95&gt;=90,"Level 5 - Ambassador",AD95&gt;=80,"Level 4 - Competition Eligible",AD95&gt;=70,"Level 3 - Trusted",AD95&gt;=60,"Level 2 - Active",AD95&gt;=50,"Level 1 - Watchlist",TRUE,"Level 0 - Restricted"))</f>
        <v/>
      </c>
      <c r="AF95" t="str">
        <f t="shared" si="2"/>
        <v/>
      </c>
    </row>
    <row r="96" spans="30:32">
      <c r="AD96" t="str">
        <f>IF(A96="","",MIN(100,MAX(0,70+SUMIF('Credibility Log'!$B:$B,A96,'Credibility Log'!$E:$E))))</f>
        <v/>
      </c>
      <c r="AE96" t="str">
        <f>IF(AD96="","",IFS(AD96&gt;=90,"Level 5 - Ambassador",AD96&gt;=80,"Level 4 - Competition Eligible",AD96&gt;=70,"Level 3 - Trusted",AD96&gt;=60,"Level 2 - Active",AD96&gt;=50,"Level 1 - Watchlist",TRUE,"Level 0 - Restricted"))</f>
        <v/>
      </c>
      <c r="AF96" t="str">
        <f t="shared" si="2"/>
        <v/>
      </c>
    </row>
    <row r="97" spans="30:32">
      <c r="AD97" t="str">
        <f>IF(A97="","",MIN(100,MAX(0,70+SUMIF('Credibility Log'!$B:$B,A97,'Credibility Log'!$E:$E))))</f>
        <v/>
      </c>
      <c r="AE97" t="str">
        <f>IF(AD97="","",IFS(AD97&gt;=90,"Level 5 - Ambassador",AD97&gt;=80,"Level 4 - Competition Eligible",AD97&gt;=70,"Level 3 - Trusted",AD97&gt;=60,"Level 2 - Active",AD97&gt;=50,"Level 1 - Watchlist",TRUE,"Level 0 - Restricted"))</f>
        <v/>
      </c>
      <c r="AF97" t="str">
        <f t="shared" si="2"/>
        <v/>
      </c>
    </row>
    <row r="98" spans="30:32">
      <c r="AD98" t="str">
        <f>IF(A98="","",MIN(100,MAX(0,70+SUMIF('Credibility Log'!$B:$B,A98,'Credibility Log'!$E:$E))))</f>
        <v/>
      </c>
      <c r="AE98" t="str">
        <f>IF(AD98="","",IFS(AD98&gt;=90,"Level 5 - Ambassador",AD98&gt;=80,"Level 4 - Competition Eligible",AD98&gt;=70,"Level 3 - Trusted",AD98&gt;=60,"Level 2 - Active",AD98&gt;=50,"Level 1 - Watchlist",TRUE,"Level 0 - Restricted"))</f>
        <v/>
      </c>
      <c r="AF98" t="str">
        <f t="shared" si="2"/>
        <v/>
      </c>
    </row>
    <row r="99" spans="30:32">
      <c r="AD99" t="str">
        <f>IF(A99="","",MIN(100,MAX(0,70+SUMIF('Credibility Log'!$B:$B,A99,'Credibility Log'!$E:$E))))</f>
        <v/>
      </c>
      <c r="AE99" t="str">
        <f>IF(AD99="","",IFS(AD99&gt;=90,"Level 5 - Ambassador",AD99&gt;=80,"Level 4 - Competition Eligible",AD99&gt;=70,"Level 3 - Trusted",AD99&gt;=60,"Level 2 - Active",AD99&gt;=50,"Level 1 - Watchlist",TRUE,"Level 0 - Restricted"))</f>
        <v/>
      </c>
      <c r="AF99" t="str">
        <f t="shared" si="2"/>
        <v/>
      </c>
    </row>
    <row r="100" spans="30:32">
      <c r="AD100" t="str">
        <f>IF(A100="","",MIN(100,MAX(0,70+SUMIF('Credibility Log'!$B:$B,A100,'Credibility Log'!$E:$E))))</f>
        <v/>
      </c>
      <c r="AE100" t="str">
        <f>IF(AD100="","",IFS(AD100&gt;=90,"Level 5 - Ambassador",AD100&gt;=80,"Level 4 - Competition Eligible",AD100&gt;=70,"Level 3 - Trusted",AD100&gt;=60,"Level 2 - Active",AD100&gt;=50,"Level 1 - Watchlist",TRUE,"Level 0 - Restricted"))</f>
        <v/>
      </c>
      <c r="AF100" t="str">
        <f t="shared" si="2"/>
        <v/>
      </c>
    </row>
    <row r="101" spans="30:32">
      <c r="AD101" t="str">
        <f>IF(A101="","",MIN(100,MAX(0,70+SUMIF('Credibility Log'!$B:$B,A101,'Credibility Log'!$E:$E))))</f>
        <v/>
      </c>
      <c r="AE101" t="str">
        <f>IF(AD101="","",IFS(AD101&gt;=90,"Level 5 - Ambassador",AD101&gt;=80,"Level 4 - Competition Eligible",AD101&gt;=70,"Level 3 - Trusted",AD101&gt;=60,"Level 2 - Active",AD101&gt;=50,"Level 1 - Watchlist",TRUE,"Level 0 - Restricted"))</f>
        <v/>
      </c>
      <c r="AF101" t="str">
        <f t="shared" ref="AF101:AF132" si="3">IF(AD101="","",IF(AD101&gt;=70,"Yes","No"))</f>
        <v/>
      </c>
    </row>
    <row r="102" spans="30:32">
      <c r="AD102" t="str">
        <f>IF(A102="","",MIN(100,MAX(0,70+SUMIF('Credibility Log'!$B:$B,A102,'Credibility Log'!$E:$E))))</f>
        <v/>
      </c>
      <c r="AE102" t="str">
        <f>IF(AD102="","",IFS(AD102&gt;=90,"Level 5 - Ambassador",AD102&gt;=80,"Level 4 - Competition Eligible",AD102&gt;=70,"Level 3 - Trusted",AD102&gt;=60,"Level 2 - Active",AD102&gt;=50,"Level 1 - Watchlist",TRUE,"Level 0 - Restricted"))</f>
        <v/>
      </c>
      <c r="AF102" t="str">
        <f t="shared" si="3"/>
        <v/>
      </c>
    </row>
    <row r="103" spans="30:32">
      <c r="AD103" t="str">
        <f>IF(A103="","",MIN(100,MAX(0,70+SUMIF('Credibility Log'!$B:$B,A103,'Credibility Log'!$E:$E))))</f>
        <v/>
      </c>
      <c r="AE103" t="str">
        <f>IF(AD103="","",IFS(AD103&gt;=90,"Level 5 - Ambassador",AD103&gt;=80,"Level 4 - Competition Eligible",AD103&gt;=70,"Level 3 - Trusted",AD103&gt;=60,"Level 2 - Active",AD103&gt;=50,"Level 1 - Watchlist",TRUE,"Level 0 - Restricted"))</f>
        <v/>
      </c>
      <c r="AF103" t="str">
        <f t="shared" si="3"/>
        <v/>
      </c>
    </row>
    <row r="104" spans="30:32">
      <c r="AD104" t="str">
        <f>IF(A104="","",MIN(100,MAX(0,70+SUMIF('Credibility Log'!$B:$B,A104,'Credibility Log'!$E:$E))))</f>
        <v/>
      </c>
      <c r="AE104" t="str">
        <f>IF(AD104="","",IFS(AD104&gt;=90,"Level 5 - Ambassador",AD104&gt;=80,"Level 4 - Competition Eligible",AD104&gt;=70,"Level 3 - Trusted",AD104&gt;=60,"Level 2 - Active",AD104&gt;=50,"Level 1 - Watchlist",TRUE,"Level 0 - Restricted"))</f>
        <v/>
      </c>
      <c r="AF104" t="str">
        <f t="shared" si="3"/>
        <v/>
      </c>
    </row>
    <row r="105" spans="30:32">
      <c r="AD105" t="str">
        <f>IF(A105="","",MIN(100,MAX(0,70+SUMIF('Credibility Log'!$B:$B,A105,'Credibility Log'!$E:$E))))</f>
        <v/>
      </c>
      <c r="AE105" t="str">
        <f>IF(AD105="","",IFS(AD105&gt;=90,"Level 5 - Ambassador",AD105&gt;=80,"Level 4 - Competition Eligible",AD105&gt;=70,"Level 3 - Trusted",AD105&gt;=60,"Level 2 - Active",AD105&gt;=50,"Level 1 - Watchlist",TRUE,"Level 0 - Restricted"))</f>
        <v/>
      </c>
      <c r="AF105" t="str">
        <f t="shared" si="3"/>
        <v/>
      </c>
    </row>
    <row r="106" spans="30:32">
      <c r="AD106" t="str">
        <f>IF(A106="","",MIN(100,MAX(0,70+SUMIF('Credibility Log'!$B:$B,A106,'Credibility Log'!$E:$E))))</f>
        <v/>
      </c>
      <c r="AE106" t="str">
        <f>IF(AD106="","",IFS(AD106&gt;=90,"Level 5 - Ambassador",AD106&gt;=80,"Level 4 - Competition Eligible",AD106&gt;=70,"Level 3 - Trusted",AD106&gt;=60,"Level 2 - Active",AD106&gt;=50,"Level 1 - Watchlist",TRUE,"Level 0 - Restricted"))</f>
        <v/>
      </c>
      <c r="AF106" t="str">
        <f t="shared" si="3"/>
        <v/>
      </c>
    </row>
    <row r="107" spans="30:32">
      <c r="AD107" t="str">
        <f>IF(A107="","",MIN(100,MAX(0,70+SUMIF('Credibility Log'!$B:$B,A107,'Credibility Log'!$E:$E))))</f>
        <v/>
      </c>
      <c r="AE107" t="str">
        <f>IF(AD107="","",IFS(AD107&gt;=90,"Level 5 - Ambassador",AD107&gt;=80,"Level 4 - Competition Eligible",AD107&gt;=70,"Level 3 - Trusted",AD107&gt;=60,"Level 2 - Active",AD107&gt;=50,"Level 1 - Watchlist",TRUE,"Level 0 - Restricted"))</f>
        <v/>
      </c>
      <c r="AF107" t="str">
        <f t="shared" si="3"/>
        <v/>
      </c>
    </row>
    <row r="108" spans="30:32">
      <c r="AD108" t="str">
        <f>IF(A108="","",MIN(100,MAX(0,70+SUMIF('Credibility Log'!$B:$B,A108,'Credibility Log'!$E:$E))))</f>
        <v/>
      </c>
      <c r="AE108" t="str">
        <f>IF(AD108="","",IFS(AD108&gt;=90,"Level 5 - Ambassador",AD108&gt;=80,"Level 4 - Competition Eligible",AD108&gt;=70,"Level 3 - Trusted",AD108&gt;=60,"Level 2 - Active",AD108&gt;=50,"Level 1 - Watchlist",TRUE,"Level 0 - Restricted"))</f>
        <v/>
      </c>
      <c r="AF108" t="str">
        <f t="shared" si="3"/>
        <v/>
      </c>
    </row>
    <row r="109" spans="30:32">
      <c r="AD109" t="str">
        <f>IF(A109="","",MIN(100,MAX(0,70+SUMIF('Credibility Log'!$B:$B,A109,'Credibility Log'!$E:$E))))</f>
        <v/>
      </c>
      <c r="AE109" t="str">
        <f>IF(AD109="","",IFS(AD109&gt;=90,"Level 5 - Ambassador",AD109&gt;=80,"Level 4 - Competition Eligible",AD109&gt;=70,"Level 3 - Trusted",AD109&gt;=60,"Level 2 - Active",AD109&gt;=50,"Level 1 - Watchlist",TRUE,"Level 0 - Restricted"))</f>
        <v/>
      </c>
      <c r="AF109" t="str">
        <f t="shared" si="3"/>
        <v/>
      </c>
    </row>
    <row r="110" spans="30:32">
      <c r="AD110" t="str">
        <f>IF(A110="","",MIN(100,MAX(0,70+SUMIF('Credibility Log'!$B:$B,A110,'Credibility Log'!$E:$E))))</f>
        <v/>
      </c>
      <c r="AE110" t="str">
        <f>IF(AD110="","",IFS(AD110&gt;=90,"Level 5 - Ambassador",AD110&gt;=80,"Level 4 - Competition Eligible",AD110&gt;=70,"Level 3 - Trusted",AD110&gt;=60,"Level 2 - Active",AD110&gt;=50,"Level 1 - Watchlist",TRUE,"Level 0 - Restricted"))</f>
        <v/>
      </c>
      <c r="AF110" t="str">
        <f t="shared" si="3"/>
        <v/>
      </c>
    </row>
    <row r="111" spans="30:32">
      <c r="AD111" t="str">
        <f>IF(A111="","",MIN(100,MAX(0,70+SUMIF('Credibility Log'!$B:$B,A111,'Credibility Log'!$E:$E))))</f>
        <v/>
      </c>
      <c r="AE111" t="str">
        <f>IF(AD111="","",IFS(AD111&gt;=90,"Level 5 - Ambassador",AD111&gt;=80,"Level 4 - Competition Eligible",AD111&gt;=70,"Level 3 - Trusted",AD111&gt;=60,"Level 2 - Active",AD111&gt;=50,"Level 1 - Watchlist",TRUE,"Level 0 - Restricted"))</f>
        <v/>
      </c>
      <c r="AF111" t="str">
        <f t="shared" si="3"/>
        <v/>
      </c>
    </row>
    <row r="112" spans="30:32">
      <c r="AD112" t="str">
        <f>IF(A112="","",MIN(100,MAX(0,70+SUMIF('Credibility Log'!$B:$B,A112,'Credibility Log'!$E:$E))))</f>
        <v/>
      </c>
      <c r="AE112" t="str">
        <f>IF(AD112="","",IFS(AD112&gt;=90,"Level 5 - Ambassador",AD112&gt;=80,"Level 4 - Competition Eligible",AD112&gt;=70,"Level 3 - Trusted",AD112&gt;=60,"Level 2 - Active",AD112&gt;=50,"Level 1 - Watchlist",TRUE,"Level 0 - Restricted"))</f>
        <v/>
      </c>
      <c r="AF112" t="str">
        <f t="shared" si="3"/>
        <v/>
      </c>
    </row>
    <row r="113" spans="30:32">
      <c r="AD113" t="str">
        <f>IF(A113="","",MIN(100,MAX(0,70+SUMIF('Credibility Log'!$B:$B,A113,'Credibility Log'!$E:$E))))</f>
        <v/>
      </c>
      <c r="AE113" t="str">
        <f>IF(AD113="","",IFS(AD113&gt;=90,"Level 5 - Ambassador",AD113&gt;=80,"Level 4 - Competition Eligible",AD113&gt;=70,"Level 3 - Trusted",AD113&gt;=60,"Level 2 - Active",AD113&gt;=50,"Level 1 - Watchlist",TRUE,"Level 0 - Restricted"))</f>
        <v/>
      </c>
      <c r="AF113" t="str">
        <f t="shared" si="3"/>
        <v/>
      </c>
    </row>
    <row r="114" spans="30:32">
      <c r="AD114" t="str">
        <f>IF(A114="","",MIN(100,MAX(0,70+SUMIF('Credibility Log'!$B:$B,A114,'Credibility Log'!$E:$E))))</f>
        <v/>
      </c>
      <c r="AE114" t="str">
        <f>IF(AD114="","",IFS(AD114&gt;=90,"Level 5 - Ambassador",AD114&gt;=80,"Level 4 - Competition Eligible",AD114&gt;=70,"Level 3 - Trusted",AD114&gt;=60,"Level 2 - Active",AD114&gt;=50,"Level 1 - Watchlist",TRUE,"Level 0 - Restricted"))</f>
        <v/>
      </c>
      <c r="AF114" t="str">
        <f t="shared" si="3"/>
        <v/>
      </c>
    </row>
    <row r="115" spans="30:32">
      <c r="AD115" t="str">
        <f>IF(A115="","",MIN(100,MAX(0,70+SUMIF('Credibility Log'!$B:$B,A115,'Credibility Log'!$E:$E))))</f>
        <v/>
      </c>
      <c r="AE115" t="str">
        <f>IF(AD115="","",IFS(AD115&gt;=90,"Level 5 - Ambassador",AD115&gt;=80,"Level 4 - Competition Eligible",AD115&gt;=70,"Level 3 - Trusted",AD115&gt;=60,"Level 2 - Active",AD115&gt;=50,"Level 1 - Watchlist",TRUE,"Level 0 - Restricted"))</f>
        <v/>
      </c>
      <c r="AF115" t="str">
        <f t="shared" si="3"/>
        <v/>
      </c>
    </row>
    <row r="116" spans="30:32">
      <c r="AD116" t="str">
        <f>IF(A116="","",MIN(100,MAX(0,70+SUMIF('Credibility Log'!$B:$B,A116,'Credibility Log'!$E:$E))))</f>
        <v/>
      </c>
      <c r="AE116" t="str">
        <f>IF(AD116="","",IFS(AD116&gt;=90,"Level 5 - Ambassador",AD116&gt;=80,"Level 4 - Competition Eligible",AD116&gt;=70,"Level 3 - Trusted",AD116&gt;=60,"Level 2 - Active",AD116&gt;=50,"Level 1 - Watchlist",TRUE,"Level 0 - Restricted"))</f>
        <v/>
      </c>
      <c r="AF116" t="str">
        <f t="shared" si="3"/>
        <v/>
      </c>
    </row>
    <row r="117" spans="30:32">
      <c r="AD117" t="str">
        <f>IF(A117="","",MIN(100,MAX(0,70+SUMIF('Credibility Log'!$B:$B,A117,'Credibility Log'!$E:$E))))</f>
        <v/>
      </c>
      <c r="AE117" t="str">
        <f>IF(AD117="","",IFS(AD117&gt;=90,"Level 5 - Ambassador",AD117&gt;=80,"Level 4 - Competition Eligible",AD117&gt;=70,"Level 3 - Trusted",AD117&gt;=60,"Level 2 - Active",AD117&gt;=50,"Level 1 - Watchlist",TRUE,"Level 0 - Restricted"))</f>
        <v/>
      </c>
      <c r="AF117" t="str">
        <f t="shared" si="3"/>
        <v/>
      </c>
    </row>
    <row r="118" spans="30:32">
      <c r="AD118" t="str">
        <f>IF(A118="","",MIN(100,MAX(0,70+SUMIF('Credibility Log'!$B:$B,A118,'Credibility Log'!$E:$E))))</f>
        <v/>
      </c>
      <c r="AE118" t="str">
        <f>IF(AD118="","",IFS(AD118&gt;=90,"Level 5 - Ambassador",AD118&gt;=80,"Level 4 - Competition Eligible",AD118&gt;=70,"Level 3 - Trusted",AD118&gt;=60,"Level 2 - Active",AD118&gt;=50,"Level 1 - Watchlist",TRUE,"Level 0 - Restricted"))</f>
        <v/>
      </c>
      <c r="AF118" t="str">
        <f t="shared" si="3"/>
        <v/>
      </c>
    </row>
    <row r="119" spans="30:32">
      <c r="AD119" t="str">
        <f>IF(A119="","",MIN(100,MAX(0,70+SUMIF('Credibility Log'!$B:$B,A119,'Credibility Log'!$E:$E))))</f>
        <v/>
      </c>
      <c r="AE119" t="str">
        <f>IF(AD119="","",IFS(AD119&gt;=90,"Level 5 - Ambassador",AD119&gt;=80,"Level 4 - Competition Eligible",AD119&gt;=70,"Level 3 - Trusted",AD119&gt;=60,"Level 2 - Active",AD119&gt;=50,"Level 1 - Watchlist",TRUE,"Level 0 - Restricted"))</f>
        <v/>
      </c>
      <c r="AF119" t="str">
        <f t="shared" si="3"/>
        <v/>
      </c>
    </row>
    <row r="120" spans="30:32">
      <c r="AD120" t="str">
        <f>IF(A120="","",MIN(100,MAX(0,70+SUMIF('Credibility Log'!$B:$B,A120,'Credibility Log'!$E:$E))))</f>
        <v/>
      </c>
      <c r="AE120" t="str">
        <f>IF(AD120="","",IFS(AD120&gt;=90,"Level 5 - Ambassador",AD120&gt;=80,"Level 4 - Competition Eligible",AD120&gt;=70,"Level 3 - Trusted",AD120&gt;=60,"Level 2 - Active",AD120&gt;=50,"Level 1 - Watchlist",TRUE,"Level 0 - Restricted"))</f>
        <v/>
      </c>
      <c r="AF120" t="str">
        <f t="shared" si="3"/>
        <v/>
      </c>
    </row>
    <row r="121" spans="30:32">
      <c r="AD121" t="str">
        <f>IF(A121="","",MIN(100,MAX(0,70+SUMIF('Credibility Log'!$B:$B,A121,'Credibility Log'!$E:$E))))</f>
        <v/>
      </c>
      <c r="AE121" t="str">
        <f>IF(AD121="","",IFS(AD121&gt;=90,"Level 5 - Ambassador",AD121&gt;=80,"Level 4 - Competition Eligible",AD121&gt;=70,"Level 3 - Trusted",AD121&gt;=60,"Level 2 - Active",AD121&gt;=50,"Level 1 - Watchlist",TRUE,"Level 0 - Restricted"))</f>
        <v/>
      </c>
      <c r="AF121" t="str">
        <f t="shared" si="3"/>
        <v/>
      </c>
    </row>
    <row r="122" spans="30:32">
      <c r="AD122" t="str">
        <f>IF(A122="","",MIN(100,MAX(0,70+SUMIF('Credibility Log'!$B:$B,A122,'Credibility Log'!$E:$E))))</f>
        <v/>
      </c>
      <c r="AE122" t="str">
        <f>IF(AD122="","",IFS(AD122&gt;=90,"Level 5 - Ambassador",AD122&gt;=80,"Level 4 - Competition Eligible",AD122&gt;=70,"Level 3 - Trusted",AD122&gt;=60,"Level 2 - Active",AD122&gt;=50,"Level 1 - Watchlist",TRUE,"Level 0 - Restricted"))</f>
        <v/>
      </c>
      <c r="AF122" t="str">
        <f t="shared" si="3"/>
        <v/>
      </c>
    </row>
    <row r="123" spans="30:32">
      <c r="AD123" t="str">
        <f>IF(A123="","",MIN(100,MAX(0,70+SUMIF('Credibility Log'!$B:$B,A123,'Credibility Log'!$E:$E))))</f>
        <v/>
      </c>
      <c r="AE123" t="str">
        <f>IF(AD123="","",IFS(AD123&gt;=90,"Level 5 - Ambassador",AD123&gt;=80,"Level 4 - Competition Eligible",AD123&gt;=70,"Level 3 - Trusted",AD123&gt;=60,"Level 2 - Active",AD123&gt;=50,"Level 1 - Watchlist",TRUE,"Level 0 - Restricted"))</f>
        <v/>
      </c>
      <c r="AF123" t="str">
        <f t="shared" si="3"/>
        <v/>
      </c>
    </row>
    <row r="124" spans="30:32">
      <c r="AD124" t="str">
        <f>IF(A124="","",MIN(100,MAX(0,70+SUMIF('Credibility Log'!$B:$B,A124,'Credibility Log'!$E:$E))))</f>
        <v/>
      </c>
      <c r="AE124" t="str">
        <f>IF(AD124="","",IFS(AD124&gt;=90,"Level 5 - Ambassador",AD124&gt;=80,"Level 4 - Competition Eligible",AD124&gt;=70,"Level 3 - Trusted",AD124&gt;=60,"Level 2 - Active",AD124&gt;=50,"Level 1 - Watchlist",TRUE,"Level 0 - Restricted"))</f>
        <v/>
      </c>
      <c r="AF124" t="str">
        <f t="shared" si="3"/>
        <v/>
      </c>
    </row>
    <row r="125" spans="30:32">
      <c r="AD125" t="str">
        <f>IF(A125="","",MIN(100,MAX(0,70+SUMIF('Credibility Log'!$B:$B,A125,'Credibility Log'!$E:$E))))</f>
        <v/>
      </c>
      <c r="AE125" t="str">
        <f>IF(AD125="","",IFS(AD125&gt;=90,"Level 5 - Ambassador",AD125&gt;=80,"Level 4 - Competition Eligible",AD125&gt;=70,"Level 3 - Trusted",AD125&gt;=60,"Level 2 - Active",AD125&gt;=50,"Level 1 - Watchlist",TRUE,"Level 0 - Restricted"))</f>
        <v/>
      </c>
      <c r="AF125" t="str">
        <f t="shared" si="3"/>
        <v/>
      </c>
    </row>
    <row r="126" spans="30:32">
      <c r="AD126" t="str">
        <f>IF(A126="","",MIN(100,MAX(0,70+SUMIF('Credibility Log'!$B:$B,A126,'Credibility Log'!$E:$E))))</f>
        <v/>
      </c>
      <c r="AE126" t="str">
        <f>IF(AD126="","",IFS(AD126&gt;=90,"Level 5 - Ambassador",AD126&gt;=80,"Level 4 - Competition Eligible",AD126&gt;=70,"Level 3 - Trusted",AD126&gt;=60,"Level 2 - Active",AD126&gt;=50,"Level 1 - Watchlist",TRUE,"Level 0 - Restricted"))</f>
        <v/>
      </c>
      <c r="AF126" t="str">
        <f t="shared" si="3"/>
        <v/>
      </c>
    </row>
    <row r="127" spans="30:32">
      <c r="AD127" t="str">
        <f>IF(A127="","",MIN(100,MAX(0,70+SUMIF('Credibility Log'!$B:$B,A127,'Credibility Log'!$E:$E))))</f>
        <v/>
      </c>
      <c r="AE127" t="str">
        <f>IF(AD127="","",IFS(AD127&gt;=90,"Level 5 - Ambassador",AD127&gt;=80,"Level 4 - Competition Eligible",AD127&gt;=70,"Level 3 - Trusted",AD127&gt;=60,"Level 2 - Active",AD127&gt;=50,"Level 1 - Watchlist",TRUE,"Level 0 - Restricted"))</f>
        <v/>
      </c>
      <c r="AF127" t="str">
        <f t="shared" si="3"/>
        <v/>
      </c>
    </row>
    <row r="128" spans="30:32">
      <c r="AD128" t="str">
        <f>IF(A128="","",MIN(100,MAX(0,70+SUMIF('Credibility Log'!$B:$B,A128,'Credibility Log'!$E:$E))))</f>
        <v/>
      </c>
      <c r="AE128" t="str">
        <f>IF(AD128="","",IFS(AD128&gt;=90,"Level 5 - Ambassador",AD128&gt;=80,"Level 4 - Competition Eligible",AD128&gt;=70,"Level 3 - Trusted",AD128&gt;=60,"Level 2 - Active",AD128&gt;=50,"Level 1 - Watchlist",TRUE,"Level 0 - Restricted"))</f>
        <v/>
      </c>
      <c r="AF128" t="str">
        <f t="shared" si="3"/>
        <v/>
      </c>
    </row>
    <row r="129" spans="30:32">
      <c r="AD129" t="str">
        <f>IF(A129="","",MIN(100,MAX(0,70+SUMIF('Credibility Log'!$B:$B,A129,'Credibility Log'!$E:$E))))</f>
        <v/>
      </c>
      <c r="AE129" t="str">
        <f>IF(AD129="","",IFS(AD129&gt;=90,"Level 5 - Ambassador",AD129&gt;=80,"Level 4 - Competition Eligible",AD129&gt;=70,"Level 3 - Trusted",AD129&gt;=60,"Level 2 - Active",AD129&gt;=50,"Level 1 - Watchlist",TRUE,"Level 0 - Restricted"))</f>
        <v/>
      </c>
      <c r="AF129" t="str">
        <f t="shared" si="3"/>
        <v/>
      </c>
    </row>
    <row r="130" spans="30:32">
      <c r="AD130" t="str">
        <f>IF(A130="","",MIN(100,MAX(0,70+SUMIF('Credibility Log'!$B:$B,A130,'Credibility Log'!$E:$E))))</f>
        <v/>
      </c>
      <c r="AE130" t="str">
        <f>IF(AD130="","",IFS(AD130&gt;=90,"Level 5 - Ambassador",AD130&gt;=80,"Level 4 - Competition Eligible",AD130&gt;=70,"Level 3 - Trusted",AD130&gt;=60,"Level 2 - Active",AD130&gt;=50,"Level 1 - Watchlist",TRUE,"Level 0 - Restricted"))</f>
        <v/>
      </c>
      <c r="AF130" t="str">
        <f t="shared" si="3"/>
        <v/>
      </c>
    </row>
    <row r="131" spans="30:32">
      <c r="AD131" t="str">
        <f>IF(A131="","",MIN(100,MAX(0,70+SUMIF('Credibility Log'!$B:$B,A131,'Credibility Log'!$E:$E))))</f>
        <v/>
      </c>
      <c r="AE131" t="str">
        <f>IF(AD131="","",IFS(AD131&gt;=90,"Level 5 - Ambassador",AD131&gt;=80,"Level 4 - Competition Eligible",AD131&gt;=70,"Level 3 - Trusted",AD131&gt;=60,"Level 2 - Active",AD131&gt;=50,"Level 1 - Watchlist",TRUE,"Level 0 - Restricted"))</f>
        <v/>
      </c>
      <c r="AF131" t="str">
        <f t="shared" si="3"/>
        <v/>
      </c>
    </row>
    <row r="132" spans="30:32">
      <c r="AD132" t="str">
        <f>IF(A132="","",MIN(100,MAX(0,70+SUMIF('Credibility Log'!$B:$B,A132,'Credibility Log'!$E:$E))))</f>
        <v/>
      </c>
      <c r="AE132" t="str">
        <f>IF(AD132="","",IFS(AD132&gt;=90,"Level 5 - Ambassador",AD132&gt;=80,"Level 4 - Competition Eligible",AD132&gt;=70,"Level 3 - Trusted",AD132&gt;=60,"Level 2 - Active",AD132&gt;=50,"Level 1 - Watchlist",TRUE,"Level 0 - Restricted"))</f>
        <v/>
      </c>
      <c r="AF132" t="str">
        <f t="shared" si="3"/>
        <v/>
      </c>
    </row>
    <row r="133" spans="30:32">
      <c r="AD133" t="str">
        <f>IF(A133="","",MIN(100,MAX(0,70+SUMIF('Credibility Log'!$B:$B,A133,'Credibility Log'!$E:$E))))</f>
        <v/>
      </c>
      <c r="AE133" t="str">
        <f>IF(AD133="","",IFS(AD133&gt;=90,"Level 5 - Ambassador",AD133&gt;=80,"Level 4 - Competition Eligible",AD133&gt;=70,"Level 3 - Trusted",AD133&gt;=60,"Level 2 - Active",AD133&gt;=50,"Level 1 - Watchlist",TRUE,"Level 0 - Restricted"))</f>
        <v/>
      </c>
      <c r="AF133" t="str">
        <f t="shared" ref="AF133:AF164" si="4">IF(AD133="","",IF(AD133&gt;=70,"Yes","No"))</f>
        <v/>
      </c>
    </row>
    <row r="134" spans="30:32">
      <c r="AD134" t="str">
        <f>IF(A134="","",MIN(100,MAX(0,70+SUMIF('Credibility Log'!$B:$B,A134,'Credibility Log'!$E:$E))))</f>
        <v/>
      </c>
      <c r="AE134" t="str">
        <f>IF(AD134="","",IFS(AD134&gt;=90,"Level 5 - Ambassador",AD134&gt;=80,"Level 4 - Competition Eligible",AD134&gt;=70,"Level 3 - Trusted",AD134&gt;=60,"Level 2 - Active",AD134&gt;=50,"Level 1 - Watchlist",TRUE,"Level 0 - Restricted"))</f>
        <v/>
      </c>
      <c r="AF134" t="str">
        <f t="shared" si="4"/>
        <v/>
      </c>
    </row>
    <row r="135" spans="30:32">
      <c r="AD135" t="str">
        <f>IF(A135="","",MIN(100,MAX(0,70+SUMIF('Credibility Log'!$B:$B,A135,'Credibility Log'!$E:$E))))</f>
        <v/>
      </c>
      <c r="AE135" t="str">
        <f>IF(AD135="","",IFS(AD135&gt;=90,"Level 5 - Ambassador",AD135&gt;=80,"Level 4 - Competition Eligible",AD135&gt;=70,"Level 3 - Trusted",AD135&gt;=60,"Level 2 - Active",AD135&gt;=50,"Level 1 - Watchlist",TRUE,"Level 0 - Restricted"))</f>
        <v/>
      </c>
      <c r="AF135" t="str">
        <f t="shared" si="4"/>
        <v/>
      </c>
    </row>
    <row r="136" spans="30:32">
      <c r="AD136" t="str">
        <f>IF(A136="","",MIN(100,MAX(0,70+SUMIF('Credibility Log'!$B:$B,A136,'Credibility Log'!$E:$E))))</f>
        <v/>
      </c>
      <c r="AE136" t="str">
        <f>IF(AD136="","",IFS(AD136&gt;=90,"Level 5 - Ambassador",AD136&gt;=80,"Level 4 - Competition Eligible",AD136&gt;=70,"Level 3 - Trusted",AD136&gt;=60,"Level 2 - Active",AD136&gt;=50,"Level 1 - Watchlist",TRUE,"Level 0 - Restricted"))</f>
        <v/>
      </c>
      <c r="AF136" t="str">
        <f t="shared" si="4"/>
        <v/>
      </c>
    </row>
    <row r="137" spans="30:32">
      <c r="AD137" t="str">
        <f>IF(A137="","",MIN(100,MAX(0,70+SUMIF('Credibility Log'!$B:$B,A137,'Credibility Log'!$E:$E))))</f>
        <v/>
      </c>
      <c r="AE137" t="str">
        <f>IF(AD137="","",IFS(AD137&gt;=90,"Level 5 - Ambassador",AD137&gt;=80,"Level 4 - Competition Eligible",AD137&gt;=70,"Level 3 - Trusted",AD137&gt;=60,"Level 2 - Active",AD137&gt;=50,"Level 1 - Watchlist",TRUE,"Level 0 - Restricted"))</f>
        <v/>
      </c>
      <c r="AF137" t="str">
        <f t="shared" si="4"/>
        <v/>
      </c>
    </row>
    <row r="138" spans="30:32">
      <c r="AD138" t="str">
        <f>IF(A138="","",MIN(100,MAX(0,70+SUMIF('Credibility Log'!$B:$B,A138,'Credibility Log'!$E:$E))))</f>
        <v/>
      </c>
      <c r="AE138" t="str">
        <f>IF(AD138="","",IFS(AD138&gt;=90,"Level 5 - Ambassador",AD138&gt;=80,"Level 4 - Competition Eligible",AD138&gt;=70,"Level 3 - Trusted",AD138&gt;=60,"Level 2 - Active",AD138&gt;=50,"Level 1 - Watchlist",TRUE,"Level 0 - Restricted"))</f>
        <v/>
      </c>
      <c r="AF138" t="str">
        <f t="shared" si="4"/>
        <v/>
      </c>
    </row>
    <row r="139" spans="30:32">
      <c r="AD139" t="str">
        <f>IF(A139="","",MIN(100,MAX(0,70+SUMIF('Credibility Log'!$B:$B,A139,'Credibility Log'!$E:$E))))</f>
        <v/>
      </c>
      <c r="AE139" t="str">
        <f>IF(AD139="","",IFS(AD139&gt;=90,"Level 5 - Ambassador",AD139&gt;=80,"Level 4 - Competition Eligible",AD139&gt;=70,"Level 3 - Trusted",AD139&gt;=60,"Level 2 - Active",AD139&gt;=50,"Level 1 - Watchlist",TRUE,"Level 0 - Restricted"))</f>
        <v/>
      </c>
      <c r="AF139" t="str">
        <f t="shared" si="4"/>
        <v/>
      </c>
    </row>
    <row r="140" spans="30:32">
      <c r="AD140" t="str">
        <f>IF(A140="","",MIN(100,MAX(0,70+SUMIF('Credibility Log'!$B:$B,A140,'Credibility Log'!$E:$E))))</f>
        <v/>
      </c>
      <c r="AE140" t="str">
        <f>IF(AD140="","",IFS(AD140&gt;=90,"Level 5 - Ambassador",AD140&gt;=80,"Level 4 - Competition Eligible",AD140&gt;=70,"Level 3 - Trusted",AD140&gt;=60,"Level 2 - Active",AD140&gt;=50,"Level 1 - Watchlist",TRUE,"Level 0 - Restricted"))</f>
        <v/>
      </c>
      <c r="AF140" t="str">
        <f t="shared" si="4"/>
        <v/>
      </c>
    </row>
    <row r="141" spans="30:32">
      <c r="AD141" t="str">
        <f>IF(A141="","",MIN(100,MAX(0,70+SUMIF('Credibility Log'!$B:$B,A141,'Credibility Log'!$E:$E))))</f>
        <v/>
      </c>
      <c r="AE141" t="str">
        <f>IF(AD141="","",IFS(AD141&gt;=90,"Level 5 - Ambassador",AD141&gt;=80,"Level 4 - Competition Eligible",AD141&gt;=70,"Level 3 - Trusted",AD141&gt;=60,"Level 2 - Active",AD141&gt;=50,"Level 1 - Watchlist",TRUE,"Level 0 - Restricted"))</f>
        <v/>
      </c>
      <c r="AF141" t="str">
        <f t="shared" si="4"/>
        <v/>
      </c>
    </row>
    <row r="142" spans="30:32">
      <c r="AD142" t="str">
        <f>IF(A142="","",MIN(100,MAX(0,70+SUMIF('Credibility Log'!$B:$B,A142,'Credibility Log'!$E:$E))))</f>
        <v/>
      </c>
      <c r="AE142" t="str">
        <f>IF(AD142="","",IFS(AD142&gt;=90,"Level 5 - Ambassador",AD142&gt;=80,"Level 4 - Competition Eligible",AD142&gt;=70,"Level 3 - Trusted",AD142&gt;=60,"Level 2 - Active",AD142&gt;=50,"Level 1 - Watchlist",TRUE,"Level 0 - Restricted"))</f>
        <v/>
      </c>
      <c r="AF142" t="str">
        <f t="shared" si="4"/>
        <v/>
      </c>
    </row>
    <row r="143" spans="30:32">
      <c r="AD143" t="str">
        <f>IF(A143="","",MIN(100,MAX(0,70+SUMIF('Credibility Log'!$B:$B,A143,'Credibility Log'!$E:$E))))</f>
        <v/>
      </c>
      <c r="AE143" t="str">
        <f>IF(AD143="","",IFS(AD143&gt;=90,"Level 5 - Ambassador",AD143&gt;=80,"Level 4 - Competition Eligible",AD143&gt;=70,"Level 3 - Trusted",AD143&gt;=60,"Level 2 - Active",AD143&gt;=50,"Level 1 - Watchlist",TRUE,"Level 0 - Restricted"))</f>
        <v/>
      </c>
      <c r="AF143" t="str">
        <f t="shared" si="4"/>
        <v/>
      </c>
    </row>
    <row r="144" spans="30:32">
      <c r="AD144" t="str">
        <f>IF(A144="","",MIN(100,MAX(0,70+SUMIF('Credibility Log'!$B:$B,A144,'Credibility Log'!$E:$E))))</f>
        <v/>
      </c>
      <c r="AE144" t="str">
        <f>IF(AD144="","",IFS(AD144&gt;=90,"Level 5 - Ambassador",AD144&gt;=80,"Level 4 - Competition Eligible",AD144&gt;=70,"Level 3 - Trusted",AD144&gt;=60,"Level 2 - Active",AD144&gt;=50,"Level 1 - Watchlist",TRUE,"Level 0 - Restricted"))</f>
        <v/>
      </c>
      <c r="AF144" t="str">
        <f t="shared" si="4"/>
        <v/>
      </c>
    </row>
    <row r="145" spans="30:32">
      <c r="AD145" t="str">
        <f>IF(A145="","",MIN(100,MAX(0,70+SUMIF('Credibility Log'!$B:$B,A145,'Credibility Log'!$E:$E))))</f>
        <v/>
      </c>
      <c r="AE145" t="str">
        <f>IF(AD145="","",IFS(AD145&gt;=90,"Level 5 - Ambassador",AD145&gt;=80,"Level 4 - Competition Eligible",AD145&gt;=70,"Level 3 - Trusted",AD145&gt;=60,"Level 2 - Active",AD145&gt;=50,"Level 1 - Watchlist",TRUE,"Level 0 - Restricted"))</f>
        <v/>
      </c>
      <c r="AF145" t="str">
        <f t="shared" si="4"/>
        <v/>
      </c>
    </row>
    <row r="146" spans="30:32">
      <c r="AD146" t="str">
        <f>IF(A146="","",MIN(100,MAX(0,70+SUMIF('Credibility Log'!$B:$B,A146,'Credibility Log'!$E:$E))))</f>
        <v/>
      </c>
      <c r="AE146" t="str">
        <f>IF(AD146="","",IFS(AD146&gt;=90,"Level 5 - Ambassador",AD146&gt;=80,"Level 4 - Competition Eligible",AD146&gt;=70,"Level 3 - Trusted",AD146&gt;=60,"Level 2 - Active",AD146&gt;=50,"Level 1 - Watchlist",TRUE,"Level 0 - Restricted"))</f>
        <v/>
      </c>
      <c r="AF146" t="str">
        <f t="shared" si="4"/>
        <v/>
      </c>
    </row>
    <row r="147" spans="30:32">
      <c r="AD147" t="str">
        <f>IF(A147="","",MIN(100,MAX(0,70+SUMIF('Credibility Log'!$B:$B,A147,'Credibility Log'!$E:$E))))</f>
        <v/>
      </c>
      <c r="AE147" t="str">
        <f>IF(AD147="","",IFS(AD147&gt;=90,"Level 5 - Ambassador",AD147&gt;=80,"Level 4 - Competition Eligible",AD147&gt;=70,"Level 3 - Trusted",AD147&gt;=60,"Level 2 - Active",AD147&gt;=50,"Level 1 - Watchlist",TRUE,"Level 0 - Restricted"))</f>
        <v/>
      </c>
      <c r="AF147" t="str">
        <f t="shared" si="4"/>
        <v/>
      </c>
    </row>
    <row r="148" spans="30:32">
      <c r="AD148" t="str">
        <f>IF(A148="","",MIN(100,MAX(0,70+SUMIF('Credibility Log'!$B:$B,A148,'Credibility Log'!$E:$E))))</f>
        <v/>
      </c>
      <c r="AE148" t="str">
        <f>IF(AD148="","",IFS(AD148&gt;=90,"Level 5 - Ambassador",AD148&gt;=80,"Level 4 - Competition Eligible",AD148&gt;=70,"Level 3 - Trusted",AD148&gt;=60,"Level 2 - Active",AD148&gt;=50,"Level 1 - Watchlist",TRUE,"Level 0 - Restricted"))</f>
        <v/>
      </c>
      <c r="AF148" t="str">
        <f t="shared" si="4"/>
        <v/>
      </c>
    </row>
    <row r="149" spans="30:32">
      <c r="AD149" t="str">
        <f>IF(A149="","",MIN(100,MAX(0,70+SUMIF('Credibility Log'!$B:$B,A149,'Credibility Log'!$E:$E))))</f>
        <v/>
      </c>
      <c r="AE149" t="str">
        <f>IF(AD149="","",IFS(AD149&gt;=90,"Level 5 - Ambassador",AD149&gt;=80,"Level 4 - Competition Eligible",AD149&gt;=70,"Level 3 - Trusted",AD149&gt;=60,"Level 2 - Active",AD149&gt;=50,"Level 1 - Watchlist",TRUE,"Level 0 - Restricted"))</f>
        <v/>
      </c>
      <c r="AF149" t="str">
        <f t="shared" si="4"/>
        <v/>
      </c>
    </row>
    <row r="150" spans="30:32">
      <c r="AD150" t="str">
        <f>IF(A150="","",MIN(100,MAX(0,70+SUMIF('Credibility Log'!$B:$B,A150,'Credibility Log'!$E:$E))))</f>
        <v/>
      </c>
      <c r="AE150" t="str">
        <f>IF(AD150="","",IFS(AD150&gt;=90,"Level 5 - Ambassador",AD150&gt;=80,"Level 4 - Competition Eligible",AD150&gt;=70,"Level 3 - Trusted",AD150&gt;=60,"Level 2 - Active",AD150&gt;=50,"Level 1 - Watchlist",TRUE,"Level 0 - Restricted"))</f>
        <v/>
      </c>
      <c r="AF150" t="str">
        <f t="shared" si="4"/>
        <v/>
      </c>
    </row>
    <row r="151" spans="30:32">
      <c r="AD151" t="str">
        <f>IF(A151="","",MIN(100,MAX(0,70+SUMIF('Credibility Log'!$B:$B,A151,'Credibility Log'!$E:$E))))</f>
        <v/>
      </c>
      <c r="AE151" t="str">
        <f>IF(AD151="","",IFS(AD151&gt;=90,"Level 5 - Ambassador",AD151&gt;=80,"Level 4 - Competition Eligible",AD151&gt;=70,"Level 3 - Trusted",AD151&gt;=60,"Level 2 - Active",AD151&gt;=50,"Level 1 - Watchlist",TRUE,"Level 0 - Restricted"))</f>
        <v/>
      </c>
      <c r="AF151" t="str">
        <f t="shared" si="4"/>
        <v/>
      </c>
    </row>
    <row r="152" spans="30:32">
      <c r="AD152" t="str">
        <f>IF(A152="","",MIN(100,MAX(0,70+SUMIF('Credibility Log'!$B:$B,A152,'Credibility Log'!$E:$E))))</f>
        <v/>
      </c>
      <c r="AE152" t="str">
        <f>IF(AD152="","",IFS(AD152&gt;=90,"Level 5 - Ambassador",AD152&gt;=80,"Level 4 - Competition Eligible",AD152&gt;=70,"Level 3 - Trusted",AD152&gt;=60,"Level 2 - Active",AD152&gt;=50,"Level 1 - Watchlist",TRUE,"Level 0 - Restricted"))</f>
        <v/>
      </c>
      <c r="AF152" t="str">
        <f t="shared" si="4"/>
        <v/>
      </c>
    </row>
    <row r="153" spans="30:32">
      <c r="AD153" t="str">
        <f>IF(A153="","",MIN(100,MAX(0,70+SUMIF('Credibility Log'!$B:$B,A153,'Credibility Log'!$E:$E))))</f>
        <v/>
      </c>
      <c r="AE153" t="str">
        <f>IF(AD153="","",IFS(AD153&gt;=90,"Level 5 - Ambassador",AD153&gt;=80,"Level 4 - Competition Eligible",AD153&gt;=70,"Level 3 - Trusted",AD153&gt;=60,"Level 2 - Active",AD153&gt;=50,"Level 1 - Watchlist",TRUE,"Level 0 - Restricted"))</f>
        <v/>
      </c>
      <c r="AF153" t="str">
        <f t="shared" si="4"/>
        <v/>
      </c>
    </row>
    <row r="154" spans="30:32">
      <c r="AD154" t="str">
        <f>IF(A154="","",MIN(100,MAX(0,70+SUMIF('Credibility Log'!$B:$B,A154,'Credibility Log'!$E:$E))))</f>
        <v/>
      </c>
      <c r="AE154" t="str">
        <f>IF(AD154="","",IFS(AD154&gt;=90,"Level 5 - Ambassador",AD154&gt;=80,"Level 4 - Competition Eligible",AD154&gt;=70,"Level 3 - Trusted",AD154&gt;=60,"Level 2 - Active",AD154&gt;=50,"Level 1 - Watchlist",TRUE,"Level 0 - Restricted"))</f>
        <v/>
      </c>
      <c r="AF154" t="str">
        <f t="shared" si="4"/>
        <v/>
      </c>
    </row>
    <row r="155" spans="30:32">
      <c r="AD155" t="str">
        <f>IF(A155="","",MIN(100,MAX(0,70+SUMIF('Credibility Log'!$B:$B,A155,'Credibility Log'!$E:$E))))</f>
        <v/>
      </c>
      <c r="AE155" t="str">
        <f>IF(AD155="","",IFS(AD155&gt;=90,"Level 5 - Ambassador",AD155&gt;=80,"Level 4 - Competition Eligible",AD155&gt;=70,"Level 3 - Trusted",AD155&gt;=60,"Level 2 - Active",AD155&gt;=50,"Level 1 - Watchlist",TRUE,"Level 0 - Restricted"))</f>
        <v/>
      </c>
      <c r="AF155" t="str">
        <f t="shared" si="4"/>
        <v/>
      </c>
    </row>
    <row r="156" spans="30:32">
      <c r="AD156" t="str">
        <f>IF(A156="","",MIN(100,MAX(0,70+SUMIF('Credibility Log'!$B:$B,A156,'Credibility Log'!$E:$E))))</f>
        <v/>
      </c>
      <c r="AE156" t="str">
        <f>IF(AD156="","",IFS(AD156&gt;=90,"Level 5 - Ambassador",AD156&gt;=80,"Level 4 - Competition Eligible",AD156&gt;=70,"Level 3 - Trusted",AD156&gt;=60,"Level 2 - Active",AD156&gt;=50,"Level 1 - Watchlist",TRUE,"Level 0 - Restricted"))</f>
        <v/>
      </c>
      <c r="AF156" t="str">
        <f t="shared" si="4"/>
        <v/>
      </c>
    </row>
    <row r="157" spans="30:32">
      <c r="AD157" t="str">
        <f>IF(A157="","",MIN(100,MAX(0,70+SUMIF('Credibility Log'!$B:$B,A157,'Credibility Log'!$E:$E))))</f>
        <v/>
      </c>
      <c r="AE157" t="str">
        <f>IF(AD157="","",IFS(AD157&gt;=90,"Level 5 - Ambassador",AD157&gt;=80,"Level 4 - Competition Eligible",AD157&gt;=70,"Level 3 - Trusted",AD157&gt;=60,"Level 2 - Active",AD157&gt;=50,"Level 1 - Watchlist",TRUE,"Level 0 - Restricted"))</f>
        <v/>
      </c>
      <c r="AF157" t="str">
        <f t="shared" si="4"/>
        <v/>
      </c>
    </row>
    <row r="158" spans="30:32">
      <c r="AD158" t="str">
        <f>IF(A158="","",MIN(100,MAX(0,70+SUMIF('Credibility Log'!$B:$B,A158,'Credibility Log'!$E:$E))))</f>
        <v/>
      </c>
      <c r="AE158" t="str">
        <f>IF(AD158="","",IFS(AD158&gt;=90,"Level 5 - Ambassador",AD158&gt;=80,"Level 4 - Competition Eligible",AD158&gt;=70,"Level 3 - Trusted",AD158&gt;=60,"Level 2 - Active",AD158&gt;=50,"Level 1 - Watchlist",TRUE,"Level 0 - Restricted"))</f>
        <v/>
      </c>
      <c r="AF158" t="str">
        <f t="shared" si="4"/>
        <v/>
      </c>
    </row>
    <row r="159" spans="30:32">
      <c r="AD159" t="str">
        <f>IF(A159="","",MIN(100,MAX(0,70+SUMIF('Credibility Log'!$B:$B,A159,'Credibility Log'!$E:$E))))</f>
        <v/>
      </c>
      <c r="AE159" t="str">
        <f>IF(AD159="","",IFS(AD159&gt;=90,"Level 5 - Ambassador",AD159&gt;=80,"Level 4 - Competition Eligible",AD159&gt;=70,"Level 3 - Trusted",AD159&gt;=60,"Level 2 - Active",AD159&gt;=50,"Level 1 - Watchlist",TRUE,"Level 0 - Restricted"))</f>
        <v/>
      </c>
      <c r="AF159" t="str">
        <f t="shared" si="4"/>
        <v/>
      </c>
    </row>
    <row r="160" spans="30:32">
      <c r="AD160" t="str">
        <f>IF(A160="","",MIN(100,MAX(0,70+SUMIF('Credibility Log'!$B:$B,A160,'Credibility Log'!$E:$E))))</f>
        <v/>
      </c>
      <c r="AE160" t="str">
        <f>IF(AD160="","",IFS(AD160&gt;=90,"Level 5 - Ambassador",AD160&gt;=80,"Level 4 - Competition Eligible",AD160&gt;=70,"Level 3 - Trusted",AD160&gt;=60,"Level 2 - Active",AD160&gt;=50,"Level 1 - Watchlist",TRUE,"Level 0 - Restricted"))</f>
        <v/>
      </c>
      <c r="AF160" t="str">
        <f t="shared" si="4"/>
        <v/>
      </c>
    </row>
    <row r="161" spans="30:32">
      <c r="AD161" t="str">
        <f>IF(A161="","",MIN(100,MAX(0,70+SUMIF('Credibility Log'!$B:$B,A161,'Credibility Log'!$E:$E))))</f>
        <v/>
      </c>
      <c r="AE161" t="str">
        <f>IF(AD161="","",IFS(AD161&gt;=90,"Level 5 - Ambassador",AD161&gt;=80,"Level 4 - Competition Eligible",AD161&gt;=70,"Level 3 - Trusted",AD161&gt;=60,"Level 2 - Active",AD161&gt;=50,"Level 1 - Watchlist",TRUE,"Level 0 - Restricted"))</f>
        <v/>
      </c>
      <c r="AF161" t="str">
        <f t="shared" si="4"/>
        <v/>
      </c>
    </row>
    <row r="162" spans="30:32">
      <c r="AD162" t="str">
        <f>IF(A162="","",MIN(100,MAX(0,70+SUMIF('Credibility Log'!$B:$B,A162,'Credibility Log'!$E:$E))))</f>
        <v/>
      </c>
      <c r="AE162" t="str">
        <f>IF(AD162="","",IFS(AD162&gt;=90,"Level 5 - Ambassador",AD162&gt;=80,"Level 4 - Competition Eligible",AD162&gt;=70,"Level 3 - Trusted",AD162&gt;=60,"Level 2 - Active",AD162&gt;=50,"Level 1 - Watchlist",TRUE,"Level 0 - Restricted"))</f>
        <v/>
      </c>
      <c r="AF162" t="str">
        <f t="shared" si="4"/>
        <v/>
      </c>
    </row>
    <row r="163" spans="30:32">
      <c r="AD163" t="str">
        <f>IF(A163="","",MIN(100,MAX(0,70+SUMIF('Credibility Log'!$B:$B,A163,'Credibility Log'!$E:$E))))</f>
        <v/>
      </c>
      <c r="AE163" t="str">
        <f>IF(AD163="","",IFS(AD163&gt;=90,"Level 5 - Ambassador",AD163&gt;=80,"Level 4 - Competition Eligible",AD163&gt;=70,"Level 3 - Trusted",AD163&gt;=60,"Level 2 - Active",AD163&gt;=50,"Level 1 - Watchlist",TRUE,"Level 0 - Restricted"))</f>
        <v/>
      </c>
      <c r="AF163" t="str">
        <f t="shared" si="4"/>
        <v/>
      </c>
    </row>
    <row r="164" spans="30:32">
      <c r="AD164" t="str">
        <f>IF(A164="","",MIN(100,MAX(0,70+SUMIF('Credibility Log'!$B:$B,A164,'Credibility Log'!$E:$E))))</f>
        <v/>
      </c>
      <c r="AE164" t="str">
        <f>IF(AD164="","",IFS(AD164&gt;=90,"Level 5 - Ambassador",AD164&gt;=80,"Level 4 - Competition Eligible",AD164&gt;=70,"Level 3 - Trusted",AD164&gt;=60,"Level 2 - Active",AD164&gt;=50,"Level 1 - Watchlist",TRUE,"Level 0 - Restricted"))</f>
        <v/>
      </c>
      <c r="AF164" t="str">
        <f t="shared" si="4"/>
        <v/>
      </c>
    </row>
    <row r="165" spans="30:32">
      <c r="AD165" t="str">
        <f>IF(A165="","",MIN(100,MAX(0,70+SUMIF('Credibility Log'!$B:$B,A165,'Credibility Log'!$E:$E))))</f>
        <v/>
      </c>
      <c r="AE165" t="str">
        <f>IF(AD165="","",IFS(AD165&gt;=90,"Level 5 - Ambassador",AD165&gt;=80,"Level 4 - Competition Eligible",AD165&gt;=70,"Level 3 - Trusted",AD165&gt;=60,"Level 2 - Active",AD165&gt;=50,"Level 1 - Watchlist",TRUE,"Level 0 - Restricted"))</f>
        <v/>
      </c>
      <c r="AF165" t="str">
        <f t="shared" ref="AF165:AF200" si="5">IF(AD165="","",IF(AD165&gt;=70,"Yes","No"))</f>
        <v/>
      </c>
    </row>
    <row r="166" spans="30:32">
      <c r="AD166" t="str">
        <f>IF(A166="","",MIN(100,MAX(0,70+SUMIF('Credibility Log'!$B:$B,A166,'Credibility Log'!$E:$E))))</f>
        <v/>
      </c>
      <c r="AE166" t="str">
        <f>IF(AD166="","",IFS(AD166&gt;=90,"Level 5 - Ambassador",AD166&gt;=80,"Level 4 - Competition Eligible",AD166&gt;=70,"Level 3 - Trusted",AD166&gt;=60,"Level 2 - Active",AD166&gt;=50,"Level 1 - Watchlist",TRUE,"Level 0 - Restricted"))</f>
        <v/>
      </c>
      <c r="AF166" t="str">
        <f t="shared" si="5"/>
        <v/>
      </c>
    </row>
    <row r="167" spans="30:32">
      <c r="AD167" t="str">
        <f>IF(A167="","",MIN(100,MAX(0,70+SUMIF('Credibility Log'!$B:$B,A167,'Credibility Log'!$E:$E))))</f>
        <v/>
      </c>
      <c r="AE167" t="str">
        <f>IF(AD167="","",IFS(AD167&gt;=90,"Level 5 - Ambassador",AD167&gt;=80,"Level 4 - Competition Eligible",AD167&gt;=70,"Level 3 - Trusted",AD167&gt;=60,"Level 2 - Active",AD167&gt;=50,"Level 1 - Watchlist",TRUE,"Level 0 - Restricted"))</f>
        <v/>
      </c>
      <c r="AF167" t="str">
        <f t="shared" si="5"/>
        <v/>
      </c>
    </row>
    <row r="168" spans="30:32">
      <c r="AD168" t="str">
        <f>IF(A168="","",MIN(100,MAX(0,70+SUMIF('Credibility Log'!$B:$B,A168,'Credibility Log'!$E:$E))))</f>
        <v/>
      </c>
      <c r="AE168" t="str">
        <f>IF(AD168="","",IFS(AD168&gt;=90,"Level 5 - Ambassador",AD168&gt;=80,"Level 4 - Competition Eligible",AD168&gt;=70,"Level 3 - Trusted",AD168&gt;=60,"Level 2 - Active",AD168&gt;=50,"Level 1 - Watchlist",TRUE,"Level 0 - Restricted"))</f>
        <v/>
      </c>
      <c r="AF168" t="str">
        <f t="shared" si="5"/>
        <v/>
      </c>
    </row>
    <row r="169" spans="30:32">
      <c r="AD169" t="str">
        <f>IF(A169="","",MIN(100,MAX(0,70+SUMIF('Credibility Log'!$B:$B,A169,'Credibility Log'!$E:$E))))</f>
        <v/>
      </c>
      <c r="AE169" t="str">
        <f>IF(AD169="","",IFS(AD169&gt;=90,"Level 5 - Ambassador",AD169&gt;=80,"Level 4 - Competition Eligible",AD169&gt;=70,"Level 3 - Trusted",AD169&gt;=60,"Level 2 - Active",AD169&gt;=50,"Level 1 - Watchlist",TRUE,"Level 0 - Restricted"))</f>
        <v/>
      </c>
      <c r="AF169" t="str">
        <f t="shared" si="5"/>
        <v/>
      </c>
    </row>
    <row r="170" spans="30:32">
      <c r="AD170" t="str">
        <f>IF(A170="","",MIN(100,MAX(0,70+SUMIF('Credibility Log'!$B:$B,A170,'Credibility Log'!$E:$E))))</f>
        <v/>
      </c>
      <c r="AE170" t="str">
        <f>IF(AD170="","",IFS(AD170&gt;=90,"Level 5 - Ambassador",AD170&gt;=80,"Level 4 - Competition Eligible",AD170&gt;=70,"Level 3 - Trusted",AD170&gt;=60,"Level 2 - Active",AD170&gt;=50,"Level 1 - Watchlist",TRUE,"Level 0 - Restricted"))</f>
        <v/>
      </c>
      <c r="AF170" t="str">
        <f t="shared" si="5"/>
        <v/>
      </c>
    </row>
    <row r="171" spans="30:32">
      <c r="AD171" t="str">
        <f>IF(A171="","",MIN(100,MAX(0,70+SUMIF('Credibility Log'!$B:$B,A171,'Credibility Log'!$E:$E))))</f>
        <v/>
      </c>
      <c r="AE171" t="str">
        <f>IF(AD171="","",IFS(AD171&gt;=90,"Level 5 - Ambassador",AD171&gt;=80,"Level 4 - Competition Eligible",AD171&gt;=70,"Level 3 - Trusted",AD171&gt;=60,"Level 2 - Active",AD171&gt;=50,"Level 1 - Watchlist",TRUE,"Level 0 - Restricted"))</f>
        <v/>
      </c>
      <c r="AF171" t="str">
        <f t="shared" si="5"/>
        <v/>
      </c>
    </row>
    <row r="172" spans="30:32">
      <c r="AD172" t="str">
        <f>IF(A172="","",MIN(100,MAX(0,70+SUMIF('Credibility Log'!$B:$B,A172,'Credibility Log'!$E:$E))))</f>
        <v/>
      </c>
      <c r="AE172" t="str">
        <f>IF(AD172="","",IFS(AD172&gt;=90,"Level 5 - Ambassador",AD172&gt;=80,"Level 4 - Competition Eligible",AD172&gt;=70,"Level 3 - Trusted",AD172&gt;=60,"Level 2 - Active",AD172&gt;=50,"Level 1 - Watchlist",TRUE,"Level 0 - Restricted"))</f>
        <v/>
      </c>
      <c r="AF172" t="str">
        <f t="shared" si="5"/>
        <v/>
      </c>
    </row>
    <row r="173" spans="30:32">
      <c r="AD173" t="str">
        <f>IF(A173="","",MIN(100,MAX(0,70+SUMIF('Credibility Log'!$B:$B,A173,'Credibility Log'!$E:$E))))</f>
        <v/>
      </c>
      <c r="AE173" t="str">
        <f>IF(AD173="","",IFS(AD173&gt;=90,"Level 5 - Ambassador",AD173&gt;=80,"Level 4 - Competition Eligible",AD173&gt;=70,"Level 3 - Trusted",AD173&gt;=60,"Level 2 - Active",AD173&gt;=50,"Level 1 - Watchlist",TRUE,"Level 0 - Restricted"))</f>
        <v/>
      </c>
      <c r="AF173" t="str">
        <f t="shared" si="5"/>
        <v/>
      </c>
    </row>
    <row r="174" spans="30:32">
      <c r="AD174" t="str">
        <f>IF(A174="","",MIN(100,MAX(0,70+SUMIF('Credibility Log'!$B:$B,A174,'Credibility Log'!$E:$E))))</f>
        <v/>
      </c>
      <c r="AE174" t="str">
        <f>IF(AD174="","",IFS(AD174&gt;=90,"Level 5 - Ambassador",AD174&gt;=80,"Level 4 - Competition Eligible",AD174&gt;=70,"Level 3 - Trusted",AD174&gt;=60,"Level 2 - Active",AD174&gt;=50,"Level 1 - Watchlist",TRUE,"Level 0 - Restricted"))</f>
        <v/>
      </c>
      <c r="AF174" t="str">
        <f t="shared" si="5"/>
        <v/>
      </c>
    </row>
    <row r="175" spans="30:32">
      <c r="AD175" t="str">
        <f>IF(A175="","",MIN(100,MAX(0,70+SUMIF('Credibility Log'!$B:$B,A175,'Credibility Log'!$E:$E))))</f>
        <v/>
      </c>
      <c r="AE175" t="str">
        <f>IF(AD175="","",IFS(AD175&gt;=90,"Level 5 - Ambassador",AD175&gt;=80,"Level 4 - Competition Eligible",AD175&gt;=70,"Level 3 - Trusted",AD175&gt;=60,"Level 2 - Active",AD175&gt;=50,"Level 1 - Watchlist",TRUE,"Level 0 - Restricted"))</f>
        <v/>
      </c>
      <c r="AF175" t="str">
        <f t="shared" si="5"/>
        <v/>
      </c>
    </row>
    <row r="176" spans="30:32">
      <c r="AD176" t="str">
        <f>IF(A176="","",MIN(100,MAX(0,70+SUMIF('Credibility Log'!$B:$B,A176,'Credibility Log'!$E:$E))))</f>
        <v/>
      </c>
      <c r="AE176" t="str">
        <f>IF(AD176="","",IFS(AD176&gt;=90,"Level 5 - Ambassador",AD176&gt;=80,"Level 4 - Competition Eligible",AD176&gt;=70,"Level 3 - Trusted",AD176&gt;=60,"Level 2 - Active",AD176&gt;=50,"Level 1 - Watchlist",TRUE,"Level 0 - Restricted"))</f>
        <v/>
      </c>
      <c r="AF176" t="str">
        <f t="shared" si="5"/>
        <v/>
      </c>
    </row>
    <row r="177" spans="30:32">
      <c r="AD177" t="str">
        <f>IF(A177="","",MIN(100,MAX(0,70+SUMIF('Credibility Log'!$B:$B,A177,'Credibility Log'!$E:$E))))</f>
        <v/>
      </c>
      <c r="AE177" t="str">
        <f>IF(AD177="","",IFS(AD177&gt;=90,"Level 5 - Ambassador",AD177&gt;=80,"Level 4 - Competition Eligible",AD177&gt;=70,"Level 3 - Trusted",AD177&gt;=60,"Level 2 - Active",AD177&gt;=50,"Level 1 - Watchlist",TRUE,"Level 0 - Restricted"))</f>
        <v/>
      </c>
      <c r="AF177" t="str">
        <f t="shared" si="5"/>
        <v/>
      </c>
    </row>
    <row r="178" spans="30:32">
      <c r="AD178" t="str">
        <f>IF(A178="","",MIN(100,MAX(0,70+SUMIF('Credibility Log'!$B:$B,A178,'Credibility Log'!$E:$E))))</f>
        <v/>
      </c>
      <c r="AE178" t="str">
        <f>IF(AD178="","",IFS(AD178&gt;=90,"Level 5 - Ambassador",AD178&gt;=80,"Level 4 - Competition Eligible",AD178&gt;=70,"Level 3 - Trusted",AD178&gt;=60,"Level 2 - Active",AD178&gt;=50,"Level 1 - Watchlist",TRUE,"Level 0 - Restricted"))</f>
        <v/>
      </c>
      <c r="AF178" t="str">
        <f t="shared" si="5"/>
        <v/>
      </c>
    </row>
    <row r="179" spans="30:32">
      <c r="AD179" t="str">
        <f>IF(A179="","",MIN(100,MAX(0,70+SUMIF('Credibility Log'!$B:$B,A179,'Credibility Log'!$E:$E))))</f>
        <v/>
      </c>
      <c r="AE179" t="str">
        <f>IF(AD179="","",IFS(AD179&gt;=90,"Level 5 - Ambassador",AD179&gt;=80,"Level 4 - Competition Eligible",AD179&gt;=70,"Level 3 - Trusted",AD179&gt;=60,"Level 2 - Active",AD179&gt;=50,"Level 1 - Watchlist",TRUE,"Level 0 - Restricted"))</f>
        <v/>
      </c>
      <c r="AF179" t="str">
        <f t="shared" si="5"/>
        <v/>
      </c>
    </row>
    <row r="180" spans="30:32">
      <c r="AD180" t="str">
        <f>IF(A180="","",MIN(100,MAX(0,70+SUMIF('Credibility Log'!$B:$B,A180,'Credibility Log'!$E:$E))))</f>
        <v/>
      </c>
      <c r="AE180" t="str">
        <f>IF(AD180="","",IFS(AD180&gt;=90,"Level 5 - Ambassador",AD180&gt;=80,"Level 4 - Competition Eligible",AD180&gt;=70,"Level 3 - Trusted",AD180&gt;=60,"Level 2 - Active",AD180&gt;=50,"Level 1 - Watchlist",TRUE,"Level 0 - Restricted"))</f>
        <v/>
      </c>
      <c r="AF180" t="str">
        <f t="shared" si="5"/>
        <v/>
      </c>
    </row>
    <row r="181" spans="30:32">
      <c r="AD181" t="str">
        <f>IF(A181="","",MIN(100,MAX(0,70+SUMIF('Credibility Log'!$B:$B,A181,'Credibility Log'!$E:$E))))</f>
        <v/>
      </c>
      <c r="AE181" t="str">
        <f>IF(AD181="","",IFS(AD181&gt;=90,"Level 5 - Ambassador",AD181&gt;=80,"Level 4 - Competition Eligible",AD181&gt;=70,"Level 3 - Trusted",AD181&gt;=60,"Level 2 - Active",AD181&gt;=50,"Level 1 - Watchlist",TRUE,"Level 0 - Restricted"))</f>
        <v/>
      </c>
      <c r="AF181" t="str">
        <f t="shared" si="5"/>
        <v/>
      </c>
    </row>
    <row r="182" spans="30:32">
      <c r="AD182" t="str">
        <f>IF(A182="","",MIN(100,MAX(0,70+SUMIF('Credibility Log'!$B:$B,A182,'Credibility Log'!$E:$E))))</f>
        <v/>
      </c>
      <c r="AE182" t="str">
        <f>IF(AD182="","",IFS(AD182&gt;=90,"Level 5 - Ambassador",AD182&gt;=80,"Level 4 - Competition Eligible",AD182&gt;=70,"Level 3 - Trusted",AD182&gt;=60,"Level 2 - Active",AD182&gt;=50,"Level 1 - Watchlist",TRUE,"Level 0 - Restricted"))</f>
        <v/>
      </c>
      <c r="AF182" t="str">
        <f t="shared" si="5"/>
        <v/>
      </c>
    </row>
    <row r="183" spans="30:32">
      <c r="AD183" t="str">
        <f>IF(A183="","",MIN(100,MAX(0,70+SUMIF('Credibility Log'!$B:$B,A183,'Credibility Log'!$E:$E))))</f>
        <v/>
      </c>
      <c r="AE183" t="str">
        <f>IF(AD183="","",IFS(AD183&gt;=90,"Level 5 - Ambassador",AD183&gt;=80,"Level 4 - Competition Eligible",AD183&gt;=70,"Level 3 - Trusted",AD183&gt;=60,"Level 2 - Active",AD183&gt;=50,"Level 1 - Watchlist",TRUE,"Level 0 - Restricted"))</f>
        <v/>
      </c>
      <c r="AF183" t="str">
        <f t="shared" si="5"/>
        <v/>
      </c>
    </row>
    <row r="184" spans="30:32">
      <c r="AD184" t="str">
        <f>IF(A184="","",MIN(100,MAX(0,70+SUMIF('Credibility Log'!$B:$B,A184,'Credibility Log'!$E:$E))))</f>
        <v/>
      </c>
      <c r="AE184" t="str">
        <f>IF(AD184="","",IFS(AD184&gt;=90,"Level 5 - Ambassador",AD184&gt;=80,"Level 4 - Competition Eligible",AD184&gt;=70,"Level 3 - Trusted",AD184&gt;=60,"Level 2 - Active",AD184&gt;=50,"Level 1 - Watchlist",TRUE,"Level 0 - Restricted"))</f>
        <v/>
      </c>
      <c r="AF184" t="str">
        <f t="shared" si="5"/>
        <v/>
      </c>
    </row>
    <row r="185" spans="30:32">
      <c r="AD185" t="str">
        <f>IF(A185="","",MIN(100,MAX(0,70+SUMIF('Credibility Log'!$B:$B,A185,'Credibility Log'!$E:$E))))</f>
        <v/>
      </c>
      <c r="AE185" t="str">
        <f>IF(AD185="","",IFS(AD185&gt;=90,"Level 5 - Ambassador",AD185&gt;=80,"Level 4 - Competition Eligible",AD185&gt;=70,"Level 3 - Trusted",AD185&gt;=60,"Level 2 - Active",AD185&gt;=50,"Level 1 - Watchlist",TRUE,"Level 0 - Restricted"))</f>
        <v/>
      </c>
      <c r="AF185" t="str">
        <f t="shared" si="5"/>
        <v/>
      </c>
    </row>
    <row r="186" spans="30:32">
      <c r="AD186" t="str">
        <f>IF(A186="","",MIN(100,MAX(0,70+SUMIF('Credibility Log'!$B:$B,A186,'Credibility Log'!$E:$E))))</f>
        <v/>
      </c>
      <c r="AE186" t="str">
        <f>IF(AD186="","",IFS(AD186&gt;=90,"Level 5 - Ambassador",AD186&gt;=80,"Level 4 - Competition Eligible",AD186&gt;=70,"Level 3 - Trusted",AD186&gt;=60,"Level 2 - Active",AD186&gt;=50,"Level 1 - Watchlist",TRUE,"Level 0 - Restricted"))</f>
        <v/>
      </c>
      <c r="AF186" t="str">
        <f t="shared" si="5"/>
        <v/>
      </c>
    </row>
    <row r="187" spans="30:32">
      <c r="AD187" t="str">
        <f>IF(A187="","",MIN(100,MAX(0,70+SUMIF('Credibility Log'!$B:$B,A187,'Credibility Log'!$E:$E))))</f>
        <v/>
      </c>
      <c r="AE187" t="str">
        <f>IF(AD187="","",IFS(AD187&gt;=90,"Level 5 - Ambassador",AD187&gt;=80,"Level 4 - Competition Eligible",AD187&gt;=70,"Level 3 - Trusted",AD187&gt;=60,"Level 2 - Active",AD187&gt;=50,"Level 1 - Watchlist",TRUE,"Level 0 - Restricted"))</f>
        <v/>
      </c>
      <c r="AF187" t="str">
        <f t="shared" si="5"/>
        <v/>
      </c>
    </row>
    <row r="188" spans="30:32">
      <c r="AD188" t="str">
        <f>IF(A188="","",MIN(100,MAX(0,70+SUMIF('Credibility Log'!$B:$B,A188,'Credibility Log'!$E:$E))))</f>
        <v/>
      </c>
      <c r="AE188" t="str">
        <f>IF(AD188="","",IFS(AD188&gt;=90,"Level 5 - Ambassador",AD188&gt;=80,"Level 4 - Competition Eligible",AD188&gt;=70,"Level 3 - Trusted",AD188&gt;=60,"Level 2 - Active",AD188&gt;=50,"Level 1 - Watchlist",TRUE,"Level 0 - Restricted"))</f>
        <v/>
      </c>
      <c r="AF188" t="str">
        <f t="shared" si="5"/>
        <v/>
      </c>
    </row>
    <row r="189" spans="30:32">
      <c r="AD189" t="str">
        <f>IF(A189="","",MIN(100,MAX(0,70+SUMIF('Credibility Log'!$B:$B,A189,'Credibility Log'!$E:$E))))</f>
        <v/>
      </c>
      <c r="AE189" t="str">
        <f>IF(AD189="","",IFS(AD189&gt;=90,"Level 5 - Ambassador",AD189&gt;=80,"Level 4 - Competition Eligible",AD189&gt;=70,"Level 3 - Trusted",AD189&gt;=60,"Level 2 - Active",AD189&gt;=50,"Level 1 - Watchlist",TRUE,"Level 0 - Restricted"))</f>
        <v/>
      </c>
      <c r="AF189" t="str">
        <f t="shared" si="5"/>
        <v/>
      </c>
    </row>
    <row r="190" spans="30:32">
      <c r="AD190" t="str">
        <f>IF(A190="","",MIN(100,MAX(0,70+SUMIF('Credibility Log'!$B:$B,A190,'Credibility Log'!$E:$E))))</f>
        <v/>
      </c>
      <c r="AE190" t="str">
        <f>IF(AD190="","",IFS(AD190&gt;=90,"Level 5 - Ambassador",AD190&gt;=80,"Level 4 - Competition Eligible",AD190&gt;=70,"Level 3 - Trusted",AD190&gt;=60,"Level 2 - Active",AD190&gt;=50,"Level 1 - Watchlist",TRUE,"Level 0 - Restricted"))</f>
        <v/>
      </c>
      <c r="AF190" t="str">
        <f t="shared" si="5"/>
        <v/>
      </c>
    </row>
    <row r="191" spans="30:32">
      <c r="AD191" t="str">
        <f>IF(A191="","",MIN(100,MAX(0,70+SUMIF('Credibility Log'!$B:$B,A191,'Credibility Log'!$E:$E))))</f>
        <v/>
      </c>
      <c r="AE191" t="str">
        <f>IF(AD191="","",IFS(AD191&gt;=90,"Level 5 - Ambassador",AD191&gt;=80,"Level 4 - Competition Eligible",AD191&gt;=70,"Level 3 - Trusted",AD191&gt;=60,"Level 2 - Active",AD191&gt;=50,"Level 1 - Watchlist",TRUE,"Level 0 - Restricted"))</f>
        <v/>
      </c>
      <c r="AF191" t="str">
        <f t="shared" si="5"/>
        <v/>
      </c>
    </row>
    <row r="192" spans="30:32">
      <c r="AD192" t="str">
        <f>IF(A192="","",MIN(100,MAX(0,70+SUMIF('Credibility Log'!$B:$B,A192,'Credibility Log'!$E:$E))))</f>
        <v/>
      </c>
      <c r="AE192" t="str">
        <f>IF(AD192="","",IFS(AD192&gt;=90,"Level 5 - Ambassador",AD192&gt;=80,"Level 4 - Competition Eligible",AD192&gt;=70,"Level 3 - Trusted",AD192&gt;=60,"Level 2 - Active",AD192&gt;=50,"Level 1 - Watchlist",TRUE,"Level 0 - Restricted"))</f>
        <v/>
      </c>
      <c r="AF192" t="str">
        <f t="shared" si="5"/>
        <v/>
      </c>
    </row>
    <row r="193" spans="30:32">
      <c r="AD193" t="str">
        <f>IF(A193="","",MIN(100,MAX(0,70+SUMIF('Credibility Log'!$B:$B,A193,'Credibility Log'!$E:$E))))</f>
        <v/>
      </c>
      <c r="AE193" t="str">
        <f>IF(AD193="","",IFS(AD193&gt;=90,"Level 5 - Ambassador",AD193&gt;=80,"Level 4 - Competition Eligible",AD193&gt;=70,"Level 3 - Trusted",AD193&gt;=60,"Level 2 - Active",AD193&gt;=50,"Level 1 - Watchlist",TRUE,"Level 0 - Restricted"))</f>
        <v/>
      </c>
      <c r="AF193" t="str">
        <f t="shared" si="5"/>
        <v/>
      </c>
    </row>
    <row r="194" spans="30:32">
      <c r="AD194" t="str">
        <f>IF(A194="","",MIN(100,MAX(0,70+SUMIF('Credibility Log'!$B:$B,A194,'Credibility Log'!$E:$E))))</f>
        <v/>
      </c>
      <c r="AE194" t="str">
        <f>IF(AD194="","",IFS(AD194&gt;=90,"Level 5 - Ambassador",AD194&gt;=80,"Level 4 - Competition Eligible",AD194&gt;=70,"Level 3 - Trusted",AD194&gt;=60,"Level 2 - Active",AD194&gt;=50,"Level 1 - Watchlist",TRUE,"Level 0 - Restricted"))</f>
        <v/>
      </c>
      <c r="AF194" t="str">
        <f t="shared" si="5"/>
        <v/>
      </c>
    </row>
    <row r="195" spans="30:32">
      <c r="AD195" t="str">
        <f>IF(A195="","",MIN(100,MAX(0,70+SUMIF('Credibility Log'!$B:$B,A195,'Credibility Log'!$E:$E))))</f>
        <v/>
      </c>
      <c r="AE195" t="str">
        <f>IF(AD195="","",IFS(AD195&gt;=90,"Level 5 - Ambassador",AD195&gt;=80,"Level 4 - Competition Eligible",AD195&gt;=70,"Level 3 - Trusted",AD195&gt;=60,"Level 2 - Active",AD195&gt;=50,"Level 1 - Watchlist",TRUE,"Level 0 - Restricted"))</f>
        <v/>
      </c>
      <c r="AF195" t="str">
        <f t="shared" si="5"/>
        <v/>
      </c>
    </row>
    <row r="196" spans="30:32">
      <c r="AD196" t="str">
        <f>IF(A196="","",MIN(100,MAX(0,70+SUMIF('Credibility Log'!$B:$B,A196,'Credibility Log'!$E:$E))))</f>
        <v/>
      </c>
      <c r="AE196" t="str">
        <f>IF(AD196="","",IFS(AD196&gt;=90,"Level 5 - Ambassador",AD196&gt;=80,"Level 4 - Competition Eligible",AD196&gt;=70,"Level 3 - Trusted",AD196&gt;=60,"Level 2 - Active",AD196&gt;=50,"Level 1 - Watchlist",TRUE,"Level 0 - Restricted"))</f>
        <v/>
      </c>
      <c r="AF196" t="str">
        <f t="shared" si="5"/>
        <v/>
      </c>
    </row>
    <row r="197" spans="30:32">
      <c r="AD197" t="str">
        <f>IF(A197="","",MIN(100,MAX(0,70+SUMIF('Credibility Log'!$B:$B,A197,'Credibility Log'!$E:$E))))</f>
        <v/>
      </c>
      <c r="AE197" t="str">
        <f>IF(AD197="","",IFS(AD197&gt;=90,"Level 5 - Ambassador",AD197&gt;=80,"Level 4 - Competition Eligible",AD197&gt;=70,"Level 3 - Trusted",AD197&gt;=60,"Level 2 - Active",AD197&gt;=50,"Level 1 - Watchlist",TRUE,"Level 0 - Restricted"))</f>
        <v/>
      </c>
      <c r="AF197" t="str">
        <f t="shared" si="5"/>
        <v/>
      </c>
    </row>
    <row r="198" spans="30:32">
      <c r="AD198" t="str">
        <f>IF(A198="","",MIN(100,MAX(0,70+SUMIF('Credibility Log'!$B:$B,A198,'Credibility Log'!$E:$E))))</f>
        <v/>
      </c>
      <c r="AE198" t="str">
        <f>IF(AD198="","",IFS(AD198&gt;=90,"Level 5 - Ambassador",AD198&gt;=80,"Level 4 - Competition Eligible",AD198&gt;=70,"Level 3 - Trusted",AD198&gt;=60,"Level 2 - Active",AD198&gt;=50,"Level 1 - Watchlist",TRUE,"Level 0 - Restricted"))</f>
        <v/>
      </c>
      <c r="AF198" t="str">
        <f t="shared" si="5"/>
        <v/>
      </c>
    </row>
    <row r="199" spans="30:32">
      <c r="AD199" t="str">
        <f>IF(A199="","",MIN(100,MAX(0,70+SUMIF('Credibility Log'!$B:$B,A199,'Credibility Log'!$E:$E))))</f>
        <v/>
      </c>
      <c r="AE199" t="str">
        <f>IF(AD199="","",IFS(AD199&gt;=90,"Level 5 - Ambassador",AD199&gt;=80,"Level 4 - Competition Eligible",AD199&gt;=70,"Level 3 - Trusted",AD199&gt;=60,"Level 2 - Active",AD199&gt;=50,"Level 1 - Watchlist",TRUE,"Level 0 - Restricted"))</f>
        <v/>
      </c>
      <c r="AF199" t="str">
        <f t="shared" si="5"/>
        <v/>
      </c>
    </row>
    <row r="200" spans="30:32">
      <c r="AD200" t="str">
        <f>IF(A200="","",MIN(100,MAX(0,70+SUMIF('Credibility Log'!$B:$B,A200,'Credibility Log'!$E:$E))))</f>
        <v/>
      </c>
      <c r="AE200" t="str">
        <f>IF(AD200="","",IFS(AD200&gt;=90,"Level 5 - Ambassador",AD200&gt;=80,"Level 4 - Competition Eligible",AD200&gt;=70,"Level 3 - Trusted",AD200&gt;=60,"Level 2 - Active",AD200&gt;=50,"Level 1 - Watchlist",TRUE,"Level 0 - Restricted"))</f>
        <v/>
      </c>
      <c r="AF200" t="str">
        <f t="shared" si="5"/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J1"/>
    </sheetView>
  </sheetViews>
  <sheetFormatPr defaultRowHeight="14.25"/>
  <cols>
    <col min="1" max="1" width="9.25" customWidth="1"/>
    <col min="2" max="2" width="7.875" customWidth="1"/>
    <col min="3" max="3" width="11.625" customWidth="1"/>
    <col min="4" max="4" width="13.5" customWidth="1"/>
    <col min="5" max="5" width="12.25" customWidth="1"/>
    <col min="6" max="6" width="14.5" customWidth="1"/>
    <col min="7" max="7" width="17.5" customWidth="1"/>
    <col min="8" max="8" width="11.75" customWidth="1"/>
    <col min="9" max="9" width="8.75" customWidth="1"/>
    <col min="10" max="10" width="7.75" customWidth="1"/>
    <col min="11" max="11" width="13.25" customWidth="1"/>
    <col min="12" max="12" width="10.25" customWidth="1"/>
    <col min="13" max="13" width="14.875" customWidth="1"/>
    <col min="14" max="14" width="19.25" customWidth="1"/>
    <col min="15" max="15" width="7.5" customWidth="1"/>
    <col min="16" max="16" width="10.75" customWidth="1"/>
    <col min="17" max="17" width="8.625" customWidth="1"/>
    <col min="18" max="18" width="10.625" customWidth="1"/>
    <col min="19" max="19" width="22.375" customWidth="1"/>
  </cols>
  <sheetData>
    <row r="1" spans="1:26" ht="27.95" customHeight="1">
      <c r="A1" s="20" t="s">
        <v>302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303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1" t="s">
        <v>304</v>
      </c>
      <c r="B4" s="1" t="s">
        <v>209</v>
      </c>
      <c r="C4" s="1" t="s">
        <v>305</v>
      </c>
      <c r="D4" s="1" t="s">
        <v>306</v>
      </c>
      <c r="E4" s="1" t="s">
        <v>151</v>
      </c>
      <c r="F4" s="1" t="s">
        <v>307</v>
      </c>
      <c r="G4" s="1" t="s">
        <v>217</v>
      </c>
      <c r="H4" s="1" t="s">
        <v>308</v>
      </c>
      <c r="I4" s="1" t="s">
        <v>309</v>
      </c>
      <c r="J4" s="1" t="s">
        <v>310</v>
      </c>
      <c r="K4" s="1" t="s">
        <v>79</v>
      </c>
      <c r="L4" s="1" t="s">
        <v>223</v>
      </c>
      <c r="M4" s="1" t="s">
        <v>225</v>
      </c>
      <c r="N4" s="1" t="s">
        <v>311</v>
      </c>
      <c r="O4" s="1" t="s">
        <v>228</v>
      </c>
      <c r="P4" s="1" t="s">
        <v>312</v>
      </c>
      <c r="Q4" s="1" t="s">
        <v>313</v>
      </c>
      <c r="R4" s="1" t="s">
        <v>314</v>
      </c>
      <c r="S4" s="1" t="s">
        <v>84</v>
      </c>
    </row>
    <row r="5" spans="1:26" ht="28.5">
      <c r="A5" s="3" t="s">
        <v>315</v>
      </c>
      <c r="B5" s="3" t="s">
        <v>242</v>
      </c>
      <c r="C5" s="3" t="s">
        <v>243</v>
      </c>
      <c r="D5" s="3" t="s">
        <v>86</v>
      </c>
      <c r="E5" s="3" t="s">
        <v>87</v>
      </c>
      <c r="F5" s="3" t="s">
        <v>247</v>
      </c>
      <c r="G5" s="3">
        <v>20</v>
      </c>
      <c r="H5" s="3">
        <v>46198</v>
      </c>
      <c r="I5" s="3" t="s">
        <v>251</v>
      </c>
      <c r="J5" s="3" t="s">
        <v>252</v>
      </c>
      <c r="K5" s="3">
        <v>4</v>
      </c>
      <c r="L5" s="3" t="s">
        <v>253</v>
      </c>
      <c r="M5" s="3" t="s">
        <v>91</v>
      </c>
      <c r="N5" s="3" t="s">
        <v>91</v>
      </c>
      <c r="O5" s="3" t="s">
        <v>316</v>
      </c>
      <c r="P5" s="3">
        <v>100</v>
      </c>
      <c r="Q5" s="3">
        <v>46194</v>
      </c>
      <c r="R5" s="3">
        <v>46194</v>
      </c>
      <c r="S5" s="3" t="s">
        <v>317</v>
      </c>
    </row>
    <row r="6" spans="1:26" ht="28.5">
      <c r="A6" s="3" t="s">
        <v>318</v>
      </c>
      <c r="B6" s="3" t="s">
        <v>281</v>
      </c>
      <c r="C6" s="3" t="s">
        <v>282</v>
      </c>
      <c r="D6" s="3" t="s">
        <v>102</v>
      </c>
      <c r="E6" s="3" t="s">
        <v>103</v>
      </c>
      <c r="F6" s="3" t="s">
        <v>247</v>
      </c>
      <c r="G6" s="3">
        <v>20</v>
      </c>
      <c r="H6" s="3">
        <v>46199</v>
      </c>
      <c r="I6" s="3" t="s">
        <v>289</v>
      </c>
      <c r="J6" s="3" t="s">
        <v>251</v>
      </c>
      <c r="K6" s="3">
        <v>2</v>
      </c>
      <c r="L6" s="3" t="s">
        <v>266</v>
      </c>
      <c r="M6" s="3" t="s">
        <v>91</v>
      </c>
      <c r="N6" s="3" t="s">
        <v>91</v>
      </c>
      <c r="O6" s="3" t="s">
        <v>316</v>
      </c>
      <c r="P6" s="3">
        <v>100</v>
      </c>
      <c r="Q6" s="3">
        <v>46194</v>
      </c>
      <c r="R6" s="3">
        <v>46194</v>
      </c>
      <c r="S6" s="3" t="s">
        <v>319</v>
      </c>
    </row>
    <row r="7" spans="1:26" ht="28.5">
      <c r="A7" s="3" t="s">
        <v>320</v>
      </c>
      <c r="B7" s="3" t="s">
        <v>292</v>
      </c>
      <c r="C7" s="3" t="s">
        <v>293</v>
      </c>
      <c r="D7" s="3" t="s">
        <v>141</v>
      </c>
      <c r="E7" s="3" t="s">
        <v>133</v>
      </c>
      <c r="F7" s="3" t="s">
        <v>296</v>
      </c>
      <c r="G7" s="3">
        <v>15</v>
      </c>
      <c r="H7" s="3">
        <v>46200</v>
      </c>
      <c r="I7" s="3" t="s">
        <v>276</v>
      </c>
      <c r="J7" s="3" t="s">
        <v>321</v>
      </c>
      <c r="K7" s="3">
        <v>4</v>
      </c>
      <c r="L7" s="3" t="s">
        <v>299</v>
      </c>
      <c r="M7" s="3" t="s">
        <v>91</v>
      </c>
      <c r="N7" s="3" t="s">
        <v>91</v>
      </c>
      <c r="O7" s="3" t="s">
        <v>48</v>
      </c>
      <c r="P7" s="3">
        <v>100</v>
      </c>
      <c r="Q7" s="3">
        <v>46194</v>
      </c>
      <c r="R7" s="3">
        <v>46194</v>
      </c>
      <c r="S7" s="3" t="s">
        <v>322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sqref="A1:J1"/>
    </sheetView>
  </sheetViews>
  <sheetFormatPr defaultRowHeight="14.25"/>
  <cols>
    <col min="1" max="1" width="7.875" customWidth="1"/>
    <col min="2" max="2" width="19.375" customWidth="1"/>
    <col min="3" max="3" width="10.25" customWidth="1"/>
    <col min="4" max="4" width="15.5" customWidth="1"/>
    <col min="5" max="5" width="17.875" customWidth="1"/>
    <col min="6" max="6" width="12.125" customWidth="1"/>
    <col min="7" max="7" width="38.875" customWidth="1"/>
    <col min="8" max="8" width="11.875" customWidth="1"/>
    <col min="9" max="9" width="12.125" customWidth="1"/>
    <col min="10" max="10" width="14.75" customWidth="1"/>
    <col min="11" max="11" width="21.25" customWidth="1"/>
    <col min="12" max="12" width="7" customWidth="1"/>
    <col min="13" max="13" width="7.75" customWidth="1"/>
    <col min="14" max="14" width="16.875" customWidth="1"/>
    <col min="15" max="15" width="19.5" customWidth="1"/>
    <col min="16" max="16" width="11.5" customWidth="1"/>
    <col min="17" max="17" width="15.75" customWidth="1"/>
    <col min="18" max="18" width="15.125" customWidth="1"/>
    <col min="19" max="19" width="17.125" customWidth="1"/>
    <col min="20" max="20" width="24.125" customWidth="1"/>
    <col min="21" max="21" width="16.75" customWidth="1"/>
    <col min="22" max="22" width="18.75" customWidth="1"/>
  </cols>
  <sheetData>
    <row r="1" spans="1:22" ht="27.95" customHeight="1">
      <c r="A1" s="17" t="s">
        <v>323</v>
      </c>
      <c r="B1" s="18"/>
      <c r="C1" s="18"/>
      <c r="D1" s="18"/>
      <c r="E1" s="18"/>
      <c r="F1" s="18"/>
      <c r="G1" s="18"/>
      <c r="H1" s="18"/>
      <c r="I1" s="18"/>
      <c r="J1" s="18"/>
    </row>
    <row r="2" spans="1:22" ht="35.1" customHeight="1">
      <c r="A2" s="19" t="s">
        <v>324</v>
      </c>
      <c r="B2" s="18"/>
      <c r="C2" s="18"/>
      <c r="D2" s="18"/>
      <c r="E2" s="18"/>
      <c r="F2" s="18"/>
      <c r="G2" s="18"/>
      <c r="H2" s="18"/>
      <c r="I2" s="18"/>
      <c r="J2" s="18"/>
    </row>
    <row r="4" spans="1:22" ht="27.95" customHeight="1">
      <c r="A4" s="5" t="s">
        <v>325</v>
      </c>
      <c r="B4" s="5" t="s">
        <v>326</v>
      </c>
      <c r="C4" s="5" t="s">
        <v>327</v>
      </c>
      <c r="D4" s="5" t="s">
        <v>328</v>
      </c>
      <c r="E4" s="5" t="s">
        <v>329</v>
      </c>
      <c r="F4" s="5" t="s">
        <v>80</v>
      </c>
      <c r="G4" s="5" t="s">
        <v>330</v>
      </c>
      <c r="H4" s="5" t="s">
        <v>331</v>
      </c>
      <c r="I4" s="5" t="s">
        <v>332</v>
      </c>
      <c r="J4" s="5" t="s">
        <v>333</v>
      </c>
      <c r="K4" s="5" t="s">
        <v>334</v>
      </c>
      <c r="L4" s="5" t="s">
        <v>335</v>
      </c>
      <c r="M4" s="5" t="s">
        <v>228</v>
      </c>
      <c r="N4" s="5" t="s">
        <v>336</v>
      </c>
      <c r="O4" s="5" t="s">
        <v>337</v>
      </c>
      <c r="P4" s="5" t="s">
        <v>338</v>
      </c>
      <c r="Q4" s="5" t="s">
        <v>158</v>
      </c>
      <c r="R4" s="5" t="s">
        <v>339</v>
      </c>
      <c r="S4" s="5" t="s">
        <v>340</v>
      </c>
      <c r="T4" s="5" t="s">
        <v>341</v>
      </c>
      <c r="U4" s="5" t="s">
        <v>342</v>
      </c>
      <c r="V4" s="5" t="s">
        <v>84</v>
      </c>
    </row>
    <row r="5" spans="1:22" ht="28.5">
      <c r="A5" s="3" t="s">
        <v>343</v>
      </c>
      <c r="B5" s="3" t="s">
        <v>344</v>
      </c>
      <c r="C5" s="3" t="s">
        <v>247</v>
      </c>
      <c r="D5" s="3" t="s">
        <v>345</v>
      </c>
      <c r="E5" s="3" t="s">
        <v>346</v>
      </c>
      <c r="F5" s="3" t="s">
        <v>254</v>
      </c>
      <c r="G5" s="3" t="s">
        <v>347</v>
      </c>
      <c r="H5" s="3" t="s">
        <v>348</v>
      </c>
      <c r="I5" s="3" t="s">
        <v>349</v>
      </c>
      <c r="J5" s="3" t="s">
        <v>350</v>
      </c>
      <c r="K5" s="3" t="s">
        <v>351</v>
      </c>
      <c r="L5" s="3">
        <v>300</v>
      </c>
      <c r="M5" s="3" t="s">
        <v>352</v>
      </c>
      <c r="N5" s="3" t="s">
        <v>91</v>
      </c>
      <c r="O5" s="3" t="s">
        <v>353</v>
      </c>
      <c r="P5" s="3" t="s">
        <v>91</v>
      </c>
      <c r="Q5" s="3" t="s">
        <v>167</v>
      </c>
      <c r="R5" s="3" t="s">
        <v>170</v>
      </c>
      <c r="S5" s="3" t="s">
        <v>354</v>
      </c>
      <c r="T5" s="3" t="s">
        <v>355</v>
      </c>
      <c r="U5" s="3" t="s">
        <v>356</v>
      </c>
      <c r="V5" s="3" t="s">
        <v>357</v>
      </c>
    </row>
    <row r="6" spans="1:22" ht="28.5">
      <c r="A6" s="3" t="s">
        <v>358</v>
      </c>
      <c r="B6" s="3" t="s">
        <v>359</v>
      </c>
      <c r="C6" s="3" t="s">
        <v>273</v>
      </c>
      <c r="D6" s="3" t="s">
        <v>345</v>
      </c>
      <c r="E6" s="3" t="s">
        <v>346</v>
      </c>
      <c r="F6" s="3" t="s">
        <v>360</v>
      </c>
      <c r="G6" s="3" t="s">
        <v>361</v>
      </c>
      <c r="H6" s="3" t="s">
        <v>362</v>
      </c>
      <c r="I6" s="3" t="s">
        <v>349</v>
      </c>
      <c r="J6" s="3" t="s">
        <v>363</v>
      </c>
      <c r="K6" s="3" t="s">
        <v>364</v>
      </c>
      <c r="L6" s="3">
        <v>200</v>
      </c>
      <c r="M6" s="3" t="s">
        <v>164</v>
      </c>
      <c r="N6" s="3" t="s">
        <v>91</v>
      </c>
      <c r="O6" s="3" t="s">
        <v>353</v>
      </c>
      <c r="P6" s="3" t="s">
        <v>34</v>
      </c>
      <c r="Q6" s="3" t="s">
        <v>162</v>
      </c>
      <c r="R6" s="3" t="s">
        <v>164</v>
      </c>
      <c r="S6" s="3" t="s">
        <v>354</v>
      </c>
      <c r="T6" s="3" t="s">
        <v>365</v>
      </c>
      <c r="U6" s="3" t="s">
        <v>366</v>
      </c>
      <c r="V6" s="3" t="s">
        <v>367</v>
      </c>
    </row>
    <row r="7" spans="1:22" ht="28.5">
      <c r="A7" s="3" t="s">
        <v>368</v>
      </c>
      <c r="B7" s="3" t="s">
        <v>369</v>
      </c>
      <c r="C7" s="3" t="s">
        <v>296</v>
      </c>
      <c r="D7" s="3" t="s">
        <v>345</v>
      </c>
      <c r="E7" s="3" t="s">
        <v>346</v>
      </c>
      <c r="F7" s="3" t="s">
        <v>300</v>
      </c>
      <c r="G7" s="3" t="s">
        <v>141</v>
      </c>
      <c r="H7" s="3" t="s">
        <v>370</v>
      </c>
      <c r="I7" s="3" t="s">
        <v>371</v>
      </c>
      <c r="J7" s="3" t="s">
        <v>372</v>
      </c>
      <c r="K7" s="3" t="s">
        <v>373</v>
      </c>
      <c r="L7" s="3">
        <v>800</v>
      </c>
      <c r="M7" s="3" t="s">
        <v>352</v>
      </c>
      <c r="N7" s="3" t="s">
        <v>91</v>
      </c>
      <c r="O7" s="3" t="s">
        <v>353</v>
      </c>
      <c r="P7" s="3" t="s">
        <v>91</v>
      </c>
      <c r="Q7" s="3" t="s">
        <v>185</v>
      </c>
      <c r="R7" s="3" t="s">
        <v>170</v>
      </c>
      <c r="S7" s="3" t="s">
        <v>374</v>
      </c>
      <c r="T7" s="3" t="s">
        <v>375</v>
      </c>
      <c r="U7" s="3" t="s">
        <v>376</v>
      </c>
      <c r="V7" s="3" t="s">
        <v>357</v>
      </c>
    </row>
    <row r="8" spans="1:22" ht="28.5">
      <c r="A8" s="3" t="s">
        <v>377</v>
      </c>
      <c r="B8" s="3" t="s">
        <v>378</v>
      </c>
      <c r="C8" s="3" t="s">
        <v>379</v>
      </c>
      <c r="D8" s="3" t="s">
        <v>345</v>
      </c>
      <c r="E8" s="3" t="s">
        <v>346</v>
      </c>
      <c r="F8" s="3" t="s">
        <v>380</v>
      </c>
      <c r="G8" s="3" t="s">
        <v>110</v>
      </c>
      <c r="H8" s="3" t="s">
        <v>381</v>
      </c>
      <c r="I8" s="3" t="s">
        <v>371</v>
      </c>
      <c r="J8" s="3" t="s">
        <v>382</v>
      </c>
      <c r="K8" s="3" t="s">
        <v>383</v>
      </c>
      <c r="L8" s="3">
        <v>180</v>
      </c>
      <c r="M8" s="3" t="s">
        <v>164</v>
      </c>
      <c r="N8" s="3" t="s">
        <v>34</v>
      </c>
      <c r="O8" s="3" t="s">
        <v>353</v>
      </c>
      <c r="P8" s="3" t="s">
        <v>34</v>
      </c>
      <c r="Q8" s="3" t="s">
        <v>162</v>
      </c>
      <c r="R8" s="3" t="s">
        <v>164</v>
      </c>
      <c r="S8" s="3" t="s">
        <v>384</v>
      </c>
      <c r="T8" s="3" t="s">
        <v>385</v>
      </c>
      <c r="U8" s="3" t="s">
        <v>356</v>
      </c>
      <c r="V8" s="3" t="s">
        <v>367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0"/>
  <sheetViews>
    <sheetView workbookViewId="0">
      <selection sqref="A1:J1"/>
    </sheetView>
  </sheetViews>
  <sheetFormatPr defaultRowHeight="14.25"/>
  <cols>
    <col min="1" max="1" width="8" customWidth="1"/>
    <col min="2" max="2" width="8.5" customWidth="1"/>
    <col min="3" max="3" width="12.25" customWidth="1"/>
    <col min="4" max="4" width="7.875" customWidth="1"/>
    <col min="5" max="5" width="19.375" customWidth="1"/>
    <col min="6" max="6" width="10.25" customWidth="1"/>
    <col min="7" max="7" width="9" customWidth="1"/>
    <col min="8" max="8" width="8.375" customWidth="1"/>
    <col min="9" max="9" width="7.75" customWidth="1"/>
    <col min="10" max="10" width="13.25" customWidth="1"/>
    <col min="11" max="11" width="14.375" customWidth="1"/>
    <col min="12" max="12" width="12.375" customWidth="1"/>
    <col min="13" max="13" width="8" customWidth="1"/>
    <col min="14" max="14" width="9" customWidth="1"/>
    <col min="15" max="15" width="15.125" customWidth="1"/>
    <col min="16" max="16" width="11.875" customWidth="1"/>
    <col min="17" max="17" width="11.25" customWidth="1"/>
    <col min="18" max="18" width="27.875" customWidth="1"/>
    <col min="19" max="19" width="16.75" customWidth="1"/>
    <col min="20" max="20" width="15.625" customWidth="1"/>
    <col min="21" max="21" width="14.5" customWidth="1"/>
    <col min="22" max="22" width="11.625" customWidth="1"/>
    <col min="23" max="23" width="16.25" customWidth="1"/>
    <col min="24" max="24" width="11.5" customWidth="1"/>
    <col min="25" max="25" width="11.625" customWidth="1"/>
    <col min="26" max="26" width="14.25" customWidth="1"/>
    <col min="27" max="27" width="16.875" customWidth="1"/>
  </cols>
  <sheetData>
    <row r="1" spans="1:27" ht="27.95" customHeight="1">
      <c r="A1" s="20" t="s">
        <v>386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7" ht="35.1" customHeight="1">
      <c r="A2" s="19" t="s">
        <v>387</v>
      </c>
      <c r="B2" s="18"/>
      <c r="C2" s="18"/>
      <c r="D2" s="18"/>
      <c r="E2" s="18"/>
      <c r="F2" s="18"/>
      <c r="G2" s="18"/>
      <c r="H2" s="18"/>
      <c r="I2" s="18"/>
      <c r="J2" s="18"/>
    </row>
    <row r="4" spans="1:27" ht="27.95" customHeight="1">
      <c r="A4" s="7" t="s">
        <v>388</v>
      </c>
      <c r="B4" s="7" t="s">
        <v>77</v>
      </c>
      <c r="C4" s="7" t="s">
        <v>151</v>
      </c>
      <c r="D4" s="7" t="s">
        <v>325</v>
      </c>
      <c r="E4" s="7" t="s">
        <v>326</v>
      </c>
      <c r="F4" s="7" t="s">
        <v>327</v>
      </c>
      <c r="G4" s="7" t="s">
        <v>389</v>
      </c>
      <c r="H4" s="7" t="s">
        <v>390</v>
      </c>
      <c r="I4" s="7" t="s">
        <v>391</v>
      </c>
      <c r="J4" s="7" t="s">
        <v>79</v>
      </c>
      <c r="K4" s="7" t="s">
        <v>392</v>
      </c>
      <c r="L4" s="7" t="s">
        <v>393</v>
      </c>
      <c r="M4" s="7" t="s">
        <v>394</v>
      </c>
      <c r="N4" s="7" t="s">
        <v>395</v>
      </c>
      <c r="O4" s="7" t="s">
        <v>396</v>
      </c>
      <c r="P4" s="7" t="s">
        <v>397</v>
      </c>
      <c r="Q4" s="7" t="s">
        <v>398</v>
      </c>
      <c r="R4" s="7" t="s">
        <v>399</v>
      </c>
      <c r="S4" s="7" t="s">
        <v>228</v>
      </c>
      <c r="T4" s="7" t="s">
        <v>84</v>
      </c>
      <c r="U4" s="7" t="s">
        <v>400</v>
      </c>
      <c r="V4" s="7" t="s">
        <v>401</v>
      </c>
      <c r="W4" s="7" t="s">
        <v>402</v>
      </c>
      <c r="X4" s="7" t="s">
        <v>160</v>
      </c>
      <c r="Y4" s="7" t="s">
        <v>81</v>
      </c>
      <c r="Z4" s="7" t="s">
        <v>403</v>
      </c>
      <c r="AA4" s="7" t="s">
        <v>404</v>
      </c>
    </row>
    <row r="5" spans="1:27" ht="28.5">
      <c r="A5" s="3" t="s">
        <v>405</v>
      </c>
      <c r="B5" s="3" t="s">
        <v>86</v>
      </c>
      <c r="C5" s="3" t="s">
        <v>87</v>
      </c>
      <c r="D5" s="3" t="s">
        <v>343</v>
      </c>
      <c r="E5" s="3" t="s">
        <v>344</v>
      </c>
      <c r="F5" s="3" t="s">
        <v>247</v>
      </c>
      <c r="G5" s="3">
        <v>46198</v>
      </c>
      <c r="H5" s="3" t="s">
        <v>251</v>
      </c>
      <c r="I5" s="3" t="s">
        <v>252</v>
      </c>
      <c r="J5" s="3">
        <v>4</v>
      </c>
      <c r="K5" s="3">
        <v>3</v>
      </c>
      <c r="L5" s="3">
        <f t="shared" ref="L5:L36" si="0">IF(A5="","",J5-K5)</f>
        <v>1</v>
      </c>
      <c r="M5" s="3">
        <v>300</v>
      </c>
      <c r="N5" s="3">
        <v>0.1</v>
      </c>
      <c r="O5" s="3">
        <f t="shared" ref="O5:O36" si="1">IF(A5="","",M5*(1-N5))</f>
        <v>270</v>
      </c>
      <c r="P5" s="3">
        <f t="shared" ref="P5:P36" si="2">IF(A5="","",IF(J5=0,0,O5/J5))</f>
        <v>67.5</v>
      </c>
      <c r="Q5" s="3" t="s">
        <v>406</v>
      </c>
      <c r="R5" s="3" t="s">
        <v>407</v>
      </c>
      <c r="S5" s="3" t="s">
        <v>316</v>
      </c>
      <c r="T5" s="3" t="s">
        <v>408</v>
      </c>
      <c r="U5" s="3" t="s">
        <v>242</v>
      </c>
      <c r="V5" s="3" t="s">
        <v>243</v>
      </c>
      <c r="W5" s="3">
        <v>60</v>
      </c>
      <c r="X5" s="3" t="s">
        <v>169</v>
      </c>
      <c r="Y5" s="3" t="s">
        <v>409</v>
      </c>
      <c r="Z5" s="3" t="s">
        <v>91</v>
      </c>
      <c r="AA5" s="3" t="s">
        <v>410</v>
      </c>
    </row>
    <row r="6" spans="1:27" ht="28.5">
      <c r="A6" s="3" t="s">
        <v>411</v>
      </c>
      <c r="B6" s="3" t="s">
        <v>141</v>
      </c>
      <c r="C6" s="3" t="s">
        <v>133</v>
      </c>
      <c r="D6" s="3" t="s">
        <v>368</v>
      </c>
      <c r="E6" s="3" t="s">
        <v>369</v>
      </c>
      <c r="F6" s="3" t="s">
        <v>296</v>
      </c>
      <c r="G6" s="3">
        <v>46200</v>
      </c>
      <c r="H6" s="3" t="s">
        <v>276</v>
      </c>
      <c r="I6" s="3" t="s">
        <v>321</v>
      </c>
      <c r="J6" s="3">
        <v>4</v>
      </c>
      <c r="K6" s="3">
        <v>0</v>
      </c>
      <c r="L6" s="3">
        <f t="shared" si="0"/>
        <v>4</v>
      </c>
      <c r="M6" s="3">
        <v>300</v>
      </c>
      <c r="N6" s="3">
        <v>0.1</v>
      </c>
      <c r="O6" s="3">
        <f t="shared" si="1"/>
        <v>270</v>
      </c>
      <c r="P6" s="3">
        <f t="shared" si="2"/>
        <v>67.5</v>
      </c>
      <c r="Q6" s="3" t="s">
        <v>412</v>
      </c>
      <c r="R6" s="3" t="s">
        <v>413</v>
      </c>
      <c r="S6" s="3" t="s">
        <v>414</v>
      </c>
      <c r="T6" s="3" t="s">
        <v>415</v>
      </c>
      <c r="U6" s="3" t="s">
        <v>292</v>
      </c>
      <c r="V6" s="3" t="s">
        <v>293</v>
      </c>
      <c r="W6" s="3">
        <v>70</v>
      </c>
      <c r="X6" s="3" t="s">
        <v>169</v>
      </c>
      <c r="Y6" s="3" t="s">
        <v>409</v>
      </c>
      <c r="Z6" s="3" t="s">
        <v>34</v>
      </c>
      <c r="AA6" s="3" t="s">
        <v>416</v>
      </c>
    </row>
    <row r="7" spans="1:27">
      <c r="L7" t="str">
        <f t="shared" si="0"/>
        <v/>
      </c>
      <c r="M7">
        <v>300</v>
      </c>
      <c r="N7">
        <v>0.1</v>
      </c>
      <c r="O7" t="str">
        <f t="shared" si="1"/>
        <v/>
      </c>
      <c r="P7" t="str">
        <f t="shared" si="2"/>
        <v/>
      </c>
    </row>
    <row r="8" spans="1:27">
      <c r="L8" t="str">
        <f t="shared" si="0"/>
        <v/>
      </c>
      <c r="M8">
        <v>300</v>
      </c>
      <c r="N8">
        <v>0.1</v>
      </c>
      <c r="O8" t="str">
        <f t="shared" si="1"/>
        <v/>
      </c>
      <c r="P8" t="str">
        <f t="shared" si="2"/>
        <v/>
      </c>
    </row>
    <row r="9" spans="1:27">
      <c r="L9" t="str">
        <f t="shared" si="0"/>
        <v/>
      </c>
      <c r="M9">
        <v>300</v>
      </c>
      <c r="N9">
        <v>0.1</v>
      </c>
      <c r="O9" t="str">
        <f t="shared" si="1"/>
        <v/>
      </c>
      <c r="P9" t="str">
        <f t="shared" si="2"/>
        <v/>
      </c>
    </row>
    <row r="10" spans="1:27">
      <c r="L10" t="str">
        <f t="shared" si="0"/>
        <v/>
      </c>
      <c r="M10">
        <v>300</v>
      </c>
      <c r="N10">
        <v>0.1</v>
      </c>
      <c r="O10" t="str">
        <f t="shared" si="1"/>
        <v/>
      </c>
      <c r="P10" t="str">
        <f t="shared" si="2"/>
        <v/>
      </c>
    </row>
    <row r="11" spans="1:27">
      <c r="L11" t="str">
        <f t="shared" si="0"/>
        <v/>
      </c>
      <c r="M11">
        <v>300</v>
      </c>
      <c r="N11">
        <v>0.1</v>
      </c>
      <c r="O11" t="str">
        <f t="shared" si="1"/>
        <v/>
      </c>
      <c r="P11" t="str">
        <f t="shared" si="2"/>
        <v/>
      </c>
    </row>
    <row r="12" spans="1:27">
      <c r="L12" t="str">
        <f t="shared" si="0"/>
        <v/>
      </c>
      <c r="M12">
        <v>300</v>
      </c>
      <c r="N12">
        <v>0.1</v>
      </c>
      <c r="O12" t="str">
        <f t="shared" si="1"/>
        <v/>
      </c>
      <c r="P12" t="str">
        <f t="shared" si="2"/>
        <v/>
      </c>
    </row>
    <row r="13" spans="1:27">
      <c r="L13" t="str">
        <f t="shared" si="0"/>
        <v/>
      </c>
      <c r="M13">
        <v>300</v>
      </c>
      <c r="N13">
        <v>0.1</v>
      </c>
      <c r="O13" t="str">
        <f t="shared" si="1"/>
        <v/>
      </c>
      <c r="P13" t="str">
        <f t="shared" si="2"/>
        <v/>
      </c>
    </row>
    <row r="14" spans="1:27">
      <c r="L14" t="str">
        <f t="shared" si="0"/>
        <v/>
      </c>
      <c r="M14">
        <v>300</v>
      </c>
      <c r="N14">
        <v>0.1</v>
      </c>
      <c r="O14" t="str">
        <f t="shared" si="1"/>
        <v/>
      </c>
      <c r="P14" t="str">
        <f t="shared" si="2"/>
        <v/>
      </c>
    </row>
    <row r="15" spans="1:27">
      <c r="L15" t="str">
        <f t="shared" si="0"/>
        <v/>
      </c>
      <c r="M15">
        <v>300</v>
      </c>
      <c r="N15">
        <v>0.1</v>
      </c>
      <c r="O15" t="str">
        <f t="shared" si="1"/>
        <v/>
      </c>
      <c r="P15" t="str">
        <f t="shared" si="2"/>
        <v/>
      </c>
    </row>
    <row r="16" spans="1:27">
      <c r="L16" t="str">
        <f t="shared" si="0"/>
        <v/>
      </c>
      <c r="M16">
        <v>300</v>
      </c>
      <c r="N16">
        <v>0.1</v>
      </c>
      <c r="O16" t="str">
        <f t="shared" si="1"/>
        <v/>
      </c>
      <c r="P16" t="str">
        <f t="shared" si="2"/>
        <v/>
      </c>
    </row>
    <row r="17" spans="12:16">
      <c r="L17" t="str">
        <f t="shared" si="0"/>
        <v/>
      </c>
      <c r="M17">
        <v>300</v>
      </c>
      <c r="N17">
        <v>0.1</v>
      </c>
      <c r="O17" t="str">
        <f t="shared" si="1"/>
        <v/>
      </c>
      <c r="P17" t="str">
        <f t="shared" si="2"/>
        <v/>
      </c>
    </row>
    <row r="18" spans="12:16">
      <c r="L18" t="str">
        <f t="shared" si="0"/>
        <v/>
      </c>
      <c r="M18">
        <v>300</v>
      </c>
      <c r="N18">
        <v>0.1</v>
      </c>
      <c r="O18" t="str">
        <f t="shared" si="1"/>
        <v/>
      </c>
      <c r="P18" t="str">
        <f t="shared" si="2"/>
        <v/>
      </c>
    </row>
    <row r="19" spans="12:16">
      <c r="L19" t="str">
        <f t="shared" si="0"/>
        <v/>
      </c>
      <c r="M19">
        <v>300</v>
      </c>
      <c r="N19">
        <v>0.1</v>
      </c>
      <c r="O19" t="str">
        <f t="shared" si="1"/>
        <v/>
      </c>
      <c r="P19" t="str">
        <f t="shared" si="2"/>
        <v/>
      </c>
    </row>
    <row r="20" spans="12:16">
      <c r="L20" t="str">
        <f t="shared" si="0"/>
        <v/>
      </c>
      <c r="M20">
        <v>300</v>
      </c>
      <c r="N20">
        <v>0.1</v>
      </c>
      <c r="O20" t="str">
        <f t="shared" si="1"/>
        <v/>
      </c>
      <c r="P20" t="str">
        <f t="shared" si="2"/>
        <v/>
      </c>
    </row>
    <row r="21" spans="12:16">
      <c r="L21" t="str">
        <f t="shared" si="0"/>
        <v/>
      </c>
      <c r="M21">
        <v>300</v>
      </c>
      <c r="N21">
        <v>0.1</v>
      </c>
      <c r="O21" t="str">
        <f t="shared" si="1"/>
        <v/>
      </c>
      <c r="P21" t="str">
        <f t="shared" si="2"/>
        <v/>
      </c>
    </row>
    <row r="22" spans="12:16">
      <c r="L22" t="str">
        <f t="shared" si="0"/>
        <v/>
      </c>
      <c r="M22">
        <v>300</v>
      </c>
      <c r="N22">
        <v>0.1</v>
      </c>
      <c r="O22" t="str">
        <f t="shared" si="1"/>
        <v/>
      </c>
      <c r="P22" t="str">
        <f t="shared" si="2"/>
        <v/>
      </c>
    </row>
    <row r="23" spans="12:16">
      <c r="L23" t="str">
        <f t="shared" si="0"/>
        <v/>
      </c>
      <c r="M23">
        <v>300</v>
      </c>
      <c r="N23">
        <v>0.1</v>
      </c>
      <c r="O23" t="str">
        <f t="shared" si="1"/>
        <v/>
      </c>
      <c r="P23" t="str">
        <f t="shared" si="2"/>
        <v/>
      </c>
    </row>
    <row r="24" spans="12:16">
      <c r="L24" t="str">
        <f t="shared" si="0"/>
        <v/>
      </c>
      <c r="M24">
        <v>300</v>
      </c>
      <c r="N24">
        <v>0.1</v>
      </c>
      <c r="O24" t="str">
        <f t="shared" si="1"/>
        <v/>
      </c>
      <c r="P24" t="str">
        <f t="shared" si="2"/>
        <v/>
      </c>
    </row>
    <row r="25" spans="12:16">
      <c r="L25" t="str">
        <f t="shared" si="0"/>
        <v/>
      </c>
      <c r="M25">
        <v>300</v>
      </c>
      <c r="N25">
        <v>0.1</v>
      </c>
      <c r="O25" t="str">
        <f t="shared" si="1"/>
        <v/>
      </c>
      <c r="P25" t="str">
        <f t="shared" si="2"/>
        <v/>
      </c>
    </row>
    <row r="26" spans="12:16">
      <c r="L26" t="str">
        <f t="shared" si="0"/>
        <v/>
      </c>
      <c r="M26">
        <v>300</v>
      </c>
      <c r="N26">
        <v>0.1</v>
      </c>
      <c r="O26" t="str">
        <f t="shared" si="1"/>
        <v/>
      </c>
      <c r="P26" t="str">
        <f t="shared" si="2"/>
        <v/>
      </c>
    </row>
    <row r="27" spans="12:16">
      <c r="L27" t="str">
        <f t="shared" si="0"/>
        <v/>
      </c>
      <c r="M27">
        <v>300</v>
      </c>
      <c r="N27">
        <v>0.1</v>
      </c>
      <c r="O27" t="str">
        <f t="shared" si="1"/>
        <v/>
      </c>
      <c r="P27" t="str">
        <f t="shared" si="2"/>
        <v/>
      </c>
    </row>
    <row r="28" spans="12:16">
      <c r="L28" t="str">
        <f t="shared" si="0"/>
        <v/>
      </c>
      <c r="M28">
        <v>300</v>
      </c>
      <c r="N28">
        <v>0.1</v>
      </c>
      <c r="O28" t="str">
        <f t="shared" si="1"/>
        <v/>
      </c>
      <c r="P28" t="str">
        <f t="shared" si="2"/>
        <v/>
      </c>
    </row>
    <row r="29" spans="12:16">
      <c r="L29" t="str">
        <f t="shared" si="0"/>
        <v/>
      </c>
      <c r="M29">
        <v>300</v>
      </c>
      <c r="N29">
        <v>0.1</v>
      </c>
      <c r="O29" t="str">
        <f t="shared" si="1"/>
        <v/>
      </c>
      <c r="P29" t="str">
        <f t="shared" si="2"/>
        <v/>
      </c>
    </row>
    <row r="30" spans="12:16">
      <c r="L30" t="str">
        <f t="shared" si="0"/>
        <v/>
      </c>
      <c r="M30">
        <v>300</v>
      </c>
      <c r="N30">
        <v>0.1</v>
      </c>
      <c r="O30" t="str">
        <f t="shared" si="1"/>
        <v/>
      </c>
      <c r="P30" t="str">
        <f t="shared" si="2"/>
        <v/>
      </c>
    </row>
    <row r="31" spans="12:16">
      <c r="L31" t="str">
        <f t="shared" si="0"/>
        <v/>
      </c>
      <c r="M31">
        <v>300</v>
      </c>
      <c r="N31">
        <v>0.1</v>
      </c>
      <c r="O31" t="str">
        <f t="shared" si="1"/>
        <v/>
      </c>
      <c r="P31" t="str">
        <f t="shared" si="2"/>
        <v/>
      </c>
    </row>
    <row r="32" spans="12:16">
      <c r="L32" t="str">
        <f t="shared" si="0"/>
        <v/>
      </c>
      <c r="M32">
        <v>300</v>
      </c>
      <c r="N32">
        <v>0.1</v>
      </c>
      <c r="O32" t="str">
        <f t="shared" si="1"/>
        <v/>
      </c>
      <c r="P32" t="str">
        <f t="shared" si="2"/>
        <v/>
      </c>
    </row>
    <row r="33" spans="12:16">
      <c r="L33" t="str">
        <f t="shared" si="0"/>
        <v/>
      </c>
      <c r="M33">
        <v>300</v>
      </c>
      <c r="N33">
        <v>0.1</v>
      </c>
      <c r="O33" t="str">
        <f t="shared" si="1"/>
        <v/>
      </c>
      <c r="P33" t="str">
        <f t="shared" si="2"/>
        <v/>
      </c>
    </row>
    <row r="34" spans="12:16">
      <c r="L34" t="str">
        <f t="shared" si="0"/>
        <v/>
      </c>
      <c r="M34">
        <v>300</v>
      </c>
      <c r="N34">
        <v>0.1</v>
      </c>
      <c r="O34" t="str">
        <f t="shared" si="1"/>
        <v/>
      </c>
      <c r="P34" t="str">
        <f t="shared" si="2"/>
        <v/>
      </c>
    </row>
    <row r="35" spans="12:16">
      <c r="L35" t="str">
        <f t="shared" si="0"/>
        <v/>
      </c>
      <c r="M35">
        <v>300</v>
      </c>
      <c r="N35">
        <v>0.1</v>
      </c>
      <c r="O35" t="str">
        <f t="shared" si="1"/>
        <v/>
      </c>
      <c r="P35" t="str">
        <f t="shared" si="2"/>
        <v/>
      </c>
    </row>
    <row r="36" spans="12:16">
      <c r="L36" t="str">
        <f t="shared" si="0"/>
        <v/>
      </c>
      <c r="M36">
        <v>300</v>
      </c>
      <c r="N36">
        <v>0.1</v>
      </c>
      <c r="O36" t="str">
        <f t="shared" si="1"/>
        <v/>
      </c>
      <c r="P36" t="str">
        <f t="shared" si="2"/>
        <v/>
      </c>
    </row>
    <row r="37" spans="12:16">
      <c r="L37" t="str">
        <f t="shared" ref="L37:L68" si="3">IF(A37="","",J37-K37)</f>
        <v/>
      </c>
      <c r="M37">
        <v>300</v>
      </c>
      <c r="N37">
        <v>0.1</v>
      </c>
      <c r="O37" t="str">
        <f t="shared" ref="O37:O68" si="4">IF(A37="","",M37*(1-N37))</f>
        <v/>
      </c>
      <c r="P37" t="str">
        <f t="shared" ref="P37:P68" si="5">IF(A37="","",IF(J37=0,0,O37/J37))</f>
        <v/>
      </c>
    </row>
    <row r="38" spans="12:16">
      <c r="L38" t="str">
        <f t="shared" si="3"/>
        <v/>
      </c>
      <c r="M38">
        <v>300</v>
      </c>
      <c r="N38">
        <v>0.1</v>
      </c>
      <c r="O38" t="str">
        <f t="shared" si="4"/>
        <v/>
      </c>
      <c r="P38" t="str">
        <f t="shared" si="5"/>
        <v/>
      </c>
    </row>
    <row r="39" spans="12:16">
      <c r="L39" t="str">
        <f t="shared" si="3"/>
        <v/>
      </c>
      <c r="M39">
        <v>300</v>
      </c>
      <c r="N39">
        <v>0.1</v>
      </c>
      <c r="O39" t="str">
        <f t="shared" si="4"/>
        <v/>
      </c>
      <c r="P39" t="str">
        <f t="shared" si="5"/>
        <v/>
      </c>
    </row>
    <row r="40" spans="12:16">
      <c r="L40" t="str">
        <f t="shared" si="3"/>
        <v/>
      </c>
      <c r="M40">
        <v>300</v>
      </c>
      <c r="N40">
        <v>0.1</v>
      </c>
      <c r="O40" t="str">
        <f t="shared" si="4"/>
        <v/>
      </c>
      <c r="P40" t="str">
        <f t="shared" si="5"/>
        <v/>
      </c>
    </row>
    <row r="41" spans="12:16">
      <c r="L41" t="str">
        <f t="shared" si="3"/>
        <v/>
      </c>
      <c r="M41">
        <v>300</v>
      </c>
      <c r="N41">
        <v>0.1</v>
      </c>
      <c r="O41" t="str">
        <f t="shared" si="4"/>
        <v/>
      </c>
      <c r="P41" t="str">
        <f t="shared" si="5"/>
        <v/>
      </c>
    </row>
    <row r="42" spans="12:16">
      <c r="L42" t="str">
        <f t="shared" si="3"/>
        <v/>
      </c>
      <c r="M42">
        <v>300</v>
      </c>
      <c r="N42">
        <v>0.1</v>
      </c>
      <c r="O42" t="str">
        <f t="shared" si="4"/>
        <v/>
      </c>
      <c r="P42" t="str">
        <f t="shared" si="5"/>
        <v/>
      </c>
    </row>
    <row r="43" spans="12:16">
      <c r="L43" t="str">
        <f t="shared" si="3"/>
        <v/>
      </c>
      <c r="M43">
        <v>300</v>
      </c>
      <c r="N43">
        <v>0.1</v>
      </c>
      <c r="O43" t="str">
        <f t="shared" si="4"/>
        <v/>
      </c>
      <c r="P43" t="str">
        <f t="shared" si="5"/>
        <v/>
      </c>
    </row>
    <row r="44" spans="12:16">
      <c r="L44" t="str">
        <f t="shared" si="3"/>
        <v/>
      </c>
      <c r="M44">
        <v>300</v>
      </c>
      <c r="N44">
        <v>0.1</v>
      </c>
      <c r="O44" t="str">
        <f t="shared" si="4"/>
        <v/>
      </c>
      <c r="P44" t="str">
        <f t="shared" si="5"/>
        <v/>
      </c>
    </row>
    <row r="45" spans="12:16">
      <c r="L45" t="str">
        <f t="shared" si="3"/>
        <v/>
      </c>
      <c r="M45">
        <v>300</v>
      </c>
      <c r="N45">
        <v>0.1</v>
      </c>
      <c r="O45" t="str">
        <f t="shared" si="4"/>
        <v/>
      </c>
      <c r="P45" t="str">
        <f t="shared" si="5"/>
        <v/>
      </c>
    </row>
    <row r="46" spans="12:16">
      <c r="L46" t="str">
        <f t="shared" si="3"/>
        <v/>
      </c>
      <c r="M46">
        <v>300</v>
      </c>
      <c r="N46">
        <v>0.1</v>
      </c>
      <c r="O46" t="str">
        <f t="shared" si="4"/>
        <v/>
      </c>
      <c r="P46" t="str">
        <f t="shared" si="5"/>
        <v/>
      </c>
    </row>
    <row r="47" spans="12:16">
      <c r="L47" t="str">
        <f t="shared" si="3"/>
        <v/>
      </c>
      <c r="M47">
        <v>300</v>
      </c>
      <c r="N47">
        <v>0.1</v>
      </c>
      <c r="O47" t="str">
        <f t="shared" si="4"/>
        <v/>
      </c>
      <c r="P47" t="str">
        <f t="shared" si="5"/>
        <v/>
      </c>
    </row>
    <row r="48" spans="12:16">
      <c r="L48" t="str">
        <f t="shared" si="3"/>
        <v/>
      </c>
      <c r="M48">
        <v>300</v>
      </c>
      <c r="N48">
        <v>0.1</v>
      </c>
      <c r="O48" t="str">
        <f t="shared" si="4"/>
        <v/>
      </c>
      <c r="P48" t="str">
        <f t="shared" si="5"/>
        <v/>
      </c>
    </row>
    <row r="49" spans="12:16">
      <c r="L49" t="str">
        <f t="shared" si="3"/>
        <v/>
      </c>
      <c r="M49">
        <v>300</v>
      </c>
      <c r="N49">
        <v>0.1</v>
      </c>
      <c r="O49" t="str">
        <f t="shared" si="4"/>
        <v/>
      </c>
      <c r="P49" t="str">
        <f t="shared" si="5"/>
        <v/>
      </c>
    </row>
    <row r="50" spans="12:16">
      <c r="L50" t="str">
        <f t="shared" si="3"/>
        <v/>
      </c>
      <c r="M50">
        <v>300</v>
      </c>
      <c r="N50">
        <v>0.1</v>
      </c>
      <c r="O50" t="str">
        <f t="shared" si="4"/>
        <v/>
      </c>
      <c r="P50" t="str">
        <f t="shared" si="5"/>
        <v/>
      </c>
    </row>
    <row r="51" spans="12:16">
      <c r="L51" t="str">
        <f t="shared" si="3"/>
        <v/>
      </c>
      <c r="M51">
        <v>300</v>
      </c>
      <c r="N51">
        <v>0.1</v>
      </c>
      <c r="O51" t="str">
        <f t="shared" si="4"/>
        <v/>
      </c>
      <c r="P51" t="str">
        <f t="shared" si="5"/>
        <v/>
      </c>
    </row>
    <row r="52" spans="12:16">
      <c r="L52" t="str">
        <f t="shared" si="3"/>
        <v/>
      </c>
      <c r="M52">
        <v>300</v>
      </c>
      <c r="N52">
        <v>0.1</v>
      </c>
      <c r="O52" t="str">
        <f t="shared" si="4"/>
        <v/>
      </c>
      <c r="P52" t="str">
        <f t="shared" si="5"/>
        <v/>
      </c>
    </row>
    <row r="53" spans="12:16">
      <c r="L53" t="str">
        <f t="shared" si="3"/>
        <v/>
      </c>
      <c r="M53">
        <v>300</v>
      </c>
      <c r="N53">
        <v>0.1</v>
      </c>
      <c r="O53" t="str">
        <f t="shared" si="4"/>
        <v/>
      </c>
      <c r="P53" t="str">
        <f t="shared" si="5"/>
        <v/>
      </c>
    </row>
    <row r="54" spans="12:16">
      <c r="L54" t="str">
        <f t="shared" si="3"/>
        <v/>
      </c>
      <c r="M54">
        <v>300</v>
      </c>
      <c r="N54">
        <v>0.1</v>
      </c>
      <c r="O54" t="str">
        <f t="shared" si="4"/>
        <v/>
      </c>
      <c r="P54" t="str">
        <f t="shared" si="5"/>
        <v/>
      </c>
    </row>
    <row r="55" spans="12:16">
      <c r="L55" t="str">
        <f t="shared" si="3"/>
        <v/>
      </c>
      <c r="M55">
        <v>300</v>
      </c>
      <c r="N55">
        <v>0.1</v>
      </c>
      <c r="O55" t="str">
        <f t="shared" si="4"/>
        <v/>
      </c>
      <c r="P55" t="str">
        <f t="shared" si="5"/>
        <v/>
      </c>
    </row>
    <row r="56" spans="12:16">
      <c r="L56" t="str">
        <f t="shared" si="3"/>
        <v/>
      </c>
      <c r="M56">
        <v>300</v>
      </c>
      <c r="N56">
        <v>0.1</v>
      </c>
      <c r="O56" t="str">
        <f t="shared" si="4"/>
        <v/>
      </c>
      <c r="P56" t="str">
        <f t="shared" si="5"/>
        <v/>
      </c>
    </row>
    <row r="57" spans="12:16">
      <c r="L57" t="str">
        <f t="shared" si="3"/>
        <v/>
      </c>
      <c r="M57">
        <v>300</v>
      </c>
      <c r="N57">
        <v>0.1</v>
      </c>
      <c r="O57" t="str">
        <f t="shared" si="4"/>
        <v/>
      </c>
      <c r="P57" t="str">
        <f t="shared" si="5"/>
        <v/>
      </c>
    </row>
    <row r="58" spans="12:16">
      <c r="L58" t="str">
        <f t="shared" si="3"/>
        <v/>
      </c>
      <c r="M58">
        <v>300</v>
      </c>
      <c r="N58">
        <v>0.1</v>
      </c>
      <c r="O58" t="str">
        <f t="shared" si="4"/>
        <v/>
      </c>
      <c r="P58" t="str">
        <f t="shared" si="5"/>
        <v/>
      </c>
    </row>
    <row r="59" spans="12:16">
      <c r="L59" t="str">
        <f t="shared" si="3"/>
        <v/>
      </c>
      <c r="M59">
        <v>300</v>
      </c>
      <c r="N59">
        <v>0.1</v>
      </c>
      <c r="O59" t="str">
        <f t="shared" si="4"/>
        <v/>
      </c>
      <c r="P59" t="str">
        <f t="shared" si="5"/>
        <v/>
      </c>
    </row>
    <row r="60" spans="12:16">
      <c r="L60" t="str">
        <f t="shared" si="3"/>
        <v/>
      </c>
      <c r="M60">
        <v>300</v>
      </c>
      <c r="N60">
        <v>0.1</v>
      </c>
      <c r="O60" t="str">
        <f t="shared" si="4"/>
        <v/>
      </c>
      <c r="P60" t="str">
        <f t="shared" si="5"/>
        <v/>
      </c>
    </row>
    <row r="61" spans="12:16">
      <c r="L61" t="str">
        <f t="shared" si="3"/>
        <v/>
      </c>
      <c r="M61">
        <v>300</v>
      </c>
      <c r="N61">
        <v>0.1</v>
      </c>
      <c r="O61" t="str">
        <f t="shared" si="4"/>
        <v/>
      </c>
      <c r="P61" t="str">
        <f t="shared" si="5"/>
        <v/>
      </c>
    </row>
    <row r="62" spans="12:16">
      <c r="L62" t="str">
        <f t="shared" si="3"/>
        <v/>
      </c>
      <c r="M62">
        <v>300</v>
      </c>
      <c r="N62">
        <v>0.1</v>
      </c>
      <c r="O62" t="str">
        <f t="shared" si="4"/>
        <v/>
      </c>
      <c r="P62" t="str">
        <f t="shared" si="5"/>
        <v/>
      </c>
    </row>
    <row r="63" spans="12:16">
      <c r="L63" t="str">
        <f t="shared" si="3"/>
        <v/>
      </c>
      <c r="M63">
        <v>300</v>
      </c>
      <c r="N63">
        <v>0.1</v>
      </c>
      <c r="O63" t="str">
        <f t="shared" si="4"/>
        <v/>
      </c>
      <c r="P63" t="str">
        <f t="shared" si="5"/>
        <v/>
      </c>
    </row>
    <row r="64" spans="12:16">
      <c r="L64" t="str">
        <f t="shared" si="3"/>
        <v/>
      </c>
      <c r="M64">
        <v>300</v>
      </c>
      <c r="N64">
        <v>0.1</v>
      </c>
      <c r="O64" t="str">
        <f t="shared" si="4"/>
        <v/>
      </c>
      <c r="P64" t="str">
        <f t="shared" si="5"/>
        <v/>
      </c>
    </row>
    <row r="65" spans="12:16">
      <c r="L65" t="str">
        <f t="shared" si="3"/>
        <v/>
      </c>
      <c r="M65">
        <v>300</v>
      </c>
      <c r="N65">
        <v>0.1</v>
      </c>
      <c r="O65" t="str">
        <f t="shared" si="4"/>
        <v/>
      </c>
      <c r="P65" t="str">
        <f t="shared" si="5"/>
        <v/>
      </c>
    </row>
    <row r="66" spans="12:16">
      <c r="L66" t="str">
        <f t="shared" si="3"/>
        <v/>
      </c>
      <c r="M66">
        <v>300</v>
      </c>
      <c r="N66">
        <v>0.1</v>
      </c>
      <c r="O66" t="str">
        <f t="shared" si="4"/>
        <v/>
      </c>
      <c r="P66" t="str">
        <f t="shared" si="5"/>
        <v/>
      </c>
    </row>
    <row r="67" spans="12:16">
      <c r="L67" t="str">
        <f t="shared" si="3"/>
        <v/>
      </c>
      <c r="M67">
        <v>300</v>
      </c>
      <c r="N67">
        <v>0.1</v>
      </c>
      <c r="O67" t="str">
        <f t="shared" si="4"/>
        <v/>
      </c>
      <c r="P67" t="str">
        <f t="shared" si="5"/>
        <v/>
      </c>
    </row>
    <row r="68" spans="12:16">
      <c r="L68" t="str">
        <f t="shared" si="3"/>
        <v/>
      </c>
      <c r="M68">
        <v>300</v>
      </c>
      <c r="N68">
        <v>0.1</v>
      </c>
      <c r="O68" t="str">
        <f t="shared" si="4"/>
        <v/>
      </c>
      <c r="P68" t="str">
        <f t="shared" si="5"/>
        <v/>
      </c>
    </row>
    <row r="69" spans="12:16">
      <c r="L69" t="str">
        <f t="shared" ref="L69:L100" si="6">IF(A69="","",J69-K69)</f>
        <v/>
      </c>
      <c r="M69">
        <v>300</v>
      </c>
      <c r="N69">
        <v>0.1</v>
      </c>
      <c r="O69" t="str">
        <f t="shared" ref="O69:O100" si="7">IF(A69="","",M69*(1-N69))</f>
        <v/>
      </c>
      <c r="P69" t="str">
        <f t="shared" ref="P69:P100" si="8">IF(A69="","",IF(J69=0,0,O69/J69))</f>
        <v/>
      </c>
    </row>
    <row r="70" spans="12:16">
      <c r="L70" t="str">
        <f t="shared" si="6"/>
        <v/>
      </c>
      <c r="M70">
        <v>300</v>
      </c>
      <c r="N70">
        <v>0.1</v>
      </c>
      <c r="O70" t="str">
        <f t="shared" si="7"/>
        <v/>
      </c>
      <c r="P70" t="str">
        <f t="shared" si="8"/>
        <v/>
      </c>
    </row>
    <row r="71" spans="12:16">
      <c r="L71" t="str">
        <f t="shared" si="6"/>
        <v/>
      </c>
      <c r="M71">
        <v>300</v>
      </c>
      <c r="N71">
        <v>0.1</v>
      </c>
      <c r="O71" t="str">
        <f t="shared" si="7"/>
        <v/>
      </c>
      <c r="P71" t="str">
        <f t="shared" si="8"/>
        <v/>
      </c>
    </row>
    <row r="72" spans="12:16">
      <c r="L72" t="str">
        <f t="shared" si="6"/>
        <v/>
      </c>
      <c r="M72">
        <v>300</v>
      </c>
      <c r="N72">
        <v>0.1</v>
      </c>
      <c r="O72" t="str">
        <f t="shared" si="7"/>
        <v/>
      </c>
      <c r="P72" t="str">
        <f t="shared" si="8"/>
        <v/>
      </c>
    </row>
    <row r="73" spans="12:16">
      <c r="L73" t="str">
        <f t="shared" si="6"/>
        <v/>
      </c>
      <c r="M73">
        <v>300</v>
      </c>
      <c r="N73">
        <v>0.1</v>
      </c>
      <c r="O73" t="str">
        <f t="shared" si="7"/>
        <v/>
      </c>
      <c r="P73" t="str">
        <f t="shared" si="8"/>
        <v/>
      </c>
    </row>
    <row r="74" spans="12:16">
      <c r="L74" t="str">
        <f t="shared" si="6"/>
        <v/>
      </c>
      <c r="M74">
        <v>300</v>
      </c>
      <c r="N74">
        <v>0.1</v>
      </c>
      <c r="O74" t="str">
        <f t="shared" si="7"/>
        <v/>
      </c>
      <c r="P74" t="str">
        <f t="shared" si="8"/>
        <v/>
      </c>
    </row>
    <row r="75" spans="12:16">
      <c r="L75" t="str">
        <f t="shared" si="6"/>
        <v/>
      </c>
      <c r="M75">
        <v>300</v>
      </c>
      <c r="N75">
        <v>0.1</v>
      </c>
      <c r="O75" t="str">
        <f t="shared" si="7"/>
        <v/>
      </c>
      <c r="P75" t="str">
        <f t="shared" si="8"/>
        <v/>
      </c>
    </row>
    <row r="76" spans="12:16">
      <c r="L76" t="str">
        <f t="shared" si="6"/>
        <v/>
      </c>
      <c r="M76">
        <v>300</v>
      </c>
      <c r="N76">
        <v>0.1</v>
      </c>
      <c r="O76" t="str">
        <f t="shared" si="7"/>
        <v/>
      </c>
      <c r="P76" t="str">
        <f t="shared" si="8"/>
        <v/>
      </c>
    </row>
    <row r="77" spans="12:16">
      <c r="L77" t="str">
        <f t="shared" si="6"/>
        <v/>
      </c>
      <c r="M77">
        <v>300</v>
      </c>
      <c r="N77">
        <v>0.1</v>
      </c>
      <c r="O77" t="str">
        <f t="shared" si="7"/>
        <v/>
      </c>
      <c r="P77" t="str">
        <f t="shared" si="8"/>
        <v/>
      </c>
    </row>
    <row r="78" spans="12:16">
      <c r="L78" t="str">
        <f t="shared" si="6"/>
        <v/>
      </c>
      <c r="M78">
        <v>300</v>
      </c>
      <c r="N78">
        <v>0.1</v>
      </c>
      <c r="O78" t="str">
        <f t="shared" si="7"/>
        <v/>
      </c>
      <c r="P78" t="str">
        <f t="shared" si="8"/>
        <v/>
      </c>
    </row>
    <row r="79" spans="12:16">
      <c r="L79" t="str">
        <f t="shared" si="6"/>
        <v/>
      </c>
      <c r="M79">
        <v>300</v>
      </c>
      <c r="N79">
        <v>0.1</v>
      </c>
      <c r="O79" t="str">
        <f t="shared" si="7"/>
        <v/>
      </c>
      <c r="P79" t="str">
        <f t="shared" si="8"/>
        <v/>
      </c>
    </row>
    <row r="80" spans="12:16">
      <c r="L80" t="str">
        <f t="shared" si="6"/>
        <v/>
      </c>
      <c r="M80">
        <v>300</v>
      </c>
      <c r="N80">
        <v>0.1</v>
      </c>
      <c r="O80" t="str">
        <f t="shared" si="7"/>
        <v/>
      </c>
      <c r="P80" t="str">
        <f t="shared" si="8"/>
        <v/>
      </c>
    </row>
    <row r="81" spans="12:16">
      <c r="L81" t="str">
        <f t="shared" si="6"/>
        <v/>
      </c>
      <c r="M81">
        <v>300</v>
      </c>
      <c r="N81">
        <v>0.1</v>
      </c>
      <c r="O81" t="str">
        <f t="shared" si="7"/>
        <v/>
      </c>
      <c r="P81" t="str">
        <f t="shared" si="8"/>
        <v/>
      </c>
    </row>
    <row r="82" spans="12:16">
      <c r="L82" t="str">
        <f t="shared" si="6"/>
        <v/>
      </c>
      <c r="M82">
        <v>300</v>
      </c>
      <c r="N82">
        <v>0.1</v>
      </c>
      <c r="O82" t="str">
        <f t="shared" si="7"/>
        <v/>
      </c>
      <c r="P82" t="str">
        <f t="shared" si="8"/>
        <v/>
      </c>
    </row>
    <row r="83" spans="12:16">
      <c r="L83" t="str">
        <f t="shared" si="6"/>
        <v/>
      </c>
      <c r="M83">
        <v>300</v>
      </c>
      <c r="N83">
        <v>0.1</v>
      </c>
      <c r="O83" t="str">
        <f t="shared" si="7"/>
        <v/>
      </c>
      <c r="P83" t="str">
        <f t="shared" si="8"/>
        <v/>
      </c>
    </row>
    <row r="84" spans="12:16">
      <c r="L84" t="str">
        <f t="shared" si="6"/>
        <v/>
      </c>
      <c r="M84">
        <v>300</v>
      </c>
      <c r="N84">
        <v>0.1</v>
      </c>
      <c r="O84" t="str">
        <f t="shared" si="7"/>
        <v/>
      </c>
      <c r="P84" t="str">
        <f t="shared" si="8"/>
        <v/>
      </c>
    </row>
    <row r="85" spans="12:16">
      <c r="L85" t="str">
        <f t="shared" si="6"/>
        <v/>
      </c>
      <c r="M85">
        <v>300</v>
      </c>
      <c r="N85">
        <v>0.1</v>
      </c>
      <c r="O85" t="str">
        <f t="shared" si="7"/>
        <v/>
      </c>
      <c r="P85" t="str">
        <f t="shared" si="8"/>
        <v/>
      </c>
    </row>
    <row r="86" spans="12:16">
      <c r="L86" t="str">
        <f t="shared" si="6"/>
        <v/>
      </c>
      <c r="M86">
        <v>300</v>
      </c>
      <c r="N86">
        <v>0.1</v>
      </c>
      <c r="O86" t="str">
        <f t="shared" si="7"/>
        <v/>
      </c>
      <c r="P86" t="str">
        <f t="shared" si="8"/>
        <v/>
      </c>
    </row>
    <row r="87" spans="12:16">
      <c r="L87" t="str">
        <f t="shared" si="6"/>
        <v/>
      </c>
      <c r="M87">
        <v>300</v>
      </c>
      <c r="N87">
        <v>0.1</v>
      </c>
      <c r="O87" t="str">
        <f t="shared" si="7"/>
        <v/>
      </c>
      <c r="P87" t="str">
        <f t="shared" si="8"/>
        <v/>
      </c>
    </row>
    <row r="88" spans="12:16">
      <c r="L88" t="str">
        <f t="shared" si="6"/>
        <v/>
      </c>
      <c r="M88">
        <v>300</v>
      </c>
      <c r="N88">
        <v>0.1</v>
      </c>
      <c r="O88" t="str">
        <f t="shared" si="7"/>
        <v/>
      </c>
      <c r="P88" t="str">
        <f t="shared" si="8"/>
        <v/>
      </c>
    </row>
    <row r="89" spans="12:16">
      <c r="L89" t="str">
        <f t="shared" si="6"/>
        <v/>
      </c>
      <c r="M89">
        <v>300</v>
      </c>
      <c r="N89">
        <v>0.1</v>
      </c>
      <c r="O89" t="str">
        <f t="shared" si="7"/>
        <v/>
      </c>
      <c r="P89" t="str">
        <f t="shared" si="8"/>
        <v/>
      </c>
    </row>
    <row r="90" spans="12:16">
      <c r="L90" t="str">
        <f t="shared" si="6"/>
        <v/>
      </c>
      <c r="M90">
        <v>300</v>
      </c>
      <c r="N90">
        <v>0.1</v>
      </c>
      <c r="O90" t="str">
        <f t="shared" si="7"/>
        <v/>
      </c>
      <c r="P90" t="str">
        <f t="shared" si="8"/>
        <v/>
      </c>
    </row>
    <row r="91" spans="12:16">
      <c r="L91" t="str">
        <f t="shared" si="6"/>
        <v/>
      </c>
      <c r="M91">
        <v>300</v>
      </c>
      <c r="N91">
        <v>0.1</v>
      </c>
      <c r="O91" t="str">
        <f t="shared" si="7"/>
        <v/>
      </c>
      <c r="P91" t="str">
        <f t="shared" si="8"/>
        <v/>
      </c>
    </row>
    <row r="92" spans="12:16">
      <c r="L92" t="str">
        <f t="shared" si="6"/>
        <v/>
      </c>
      <c r="M92">
        <v>300</v>
      </c>
      <c r="N92">
        <v>0.1</v>
      </c>
      <c r="O92" t="str">
        <f t="shared" si="7"/>
        <v/>
      </c>
      <c r="P92" t="str">
        <f t="shared" si="8"/>
        <v/>
      </c>
    </row>
    <row r="93" spans="12:16">
      <c r="L93" t="str">
        <f t="shared" si="6"/>
        <v/>
      </c>
      <c r="M93">
        <v>300</v>
      </c>
      <c r="N93">
        <v>0.1</v>
      </c>
      <c r="O93" t="str">
        <f t="shared" si="7"/>
        <v/>
      </c>
      <c r="P93" t="str">
        <f t="shared" si="8"/>
        <v/>
      </c>
    </row>
    <row r="94" spans="12:16">
      <c r="L94" t="str">
        <f t="shared" si="6"/>
        <v/>
      </c>
      <c r="M94">
        <v>300</v>
      </c>
      <c r="N94">
        <v>0.1</v>
      </c>
      <c r="O94" t="str">
        <f t="shared" si="7"/>
        <v/>
      </c>
      <c r="P94" t="str">
        <f t="shared" si="8"/>
        <v/>
      </c>
    </row>
    <row r="95" spans="12:16">
      <c r="L95" t="str">
        <f t="shared" si="6"/>
        <v/>
      </c>
      <c r="M95">
        <v>300</v>
      </c>
      <c r="N95">
        <v>0.1</v>
      </c>
      <c r="O95" t="str">
        <f t="shared" si="7"/>
        <v/>
      </c>
      <c r="P95" t="str">
        <f t="shared" si="8"/>
        <v/>
      </c>
    </row>
    <row r="96" spans="12:16">
      <c r="L96" t="str">
        <f t="shared" si="6"/>
        <v/>
      </c>
      <c r="M96">
        <v>300</v>
      </c>
      <c r="N96">
        <v>0.1</v>
      </c>
      <c r="O96" t="str">
        <f t="shared" si="7"/>
        <v/>
      </c>
      <c r="P96" t="str">
        <f t="shared" si="8"/>
        <v/>
      </c>
    </row>
    <row r="97" spans="12:16">
      <c r="L97" t="str">
        <f t="shared" si="6"/>
        <v/>
      </c>
      <c r="M97">
        <v>300</v>
      </c>
      <c r="N97">
        <v>0.1</v>
      </c>
      <c r="O97" t="str">
        <f t="shared" si="7"/>
        <v/>
      </c>
      <c r="P97" t="str">
        <f t="shared" si="8"/>
        <v/>
      </c>
    </row>
    <row r="98" spans="12:16">
      <c r="L98" t="str">
        <f t="shared" si="6"/>
        <v/>
      </c>
      <c r="M98">
        <v>300</v>
      </c>
      <c r="N98">
        <v>0.1</v>
      </c>
      <c r="O98" t="str">
        <f t="shared" si="7"/>
        <v/>
      </c>
      <c r="P98" t="str">
        <f t="shared" si="8"/>
        <v/>
      </c>
    </row>
    <row r="99" spans="12:16">
      <c r="L99" t="str">
        <f t="shared" si="6"/>
        <v/>
      </c>
      <c r="M99">
        <v>300</v>
      </c>
      <c r="N99">
        <v>0.1</v>
      </c>
      <c r="O99" t="str">
        <f t="shared" si="7"/>
        <v/>
      </c>
      <c r="P99" t="str">
        <f t="shared" si="8"/>
        <v/>
      </c>
    </row>
    <row r="100" spans="12:16">
      <c r="L100" t="str">
        <f t="shared" si="6"/>
        <v/>
      </c>
      <c r="M100">
        <v>300</v>
      </c>
      <c r="N100">
        <v>0.1</v>
      </c>
      <c r="O100" t="str">
        <f t="shared" si="7"/>
        <v/>
      </c>
      <c r="P100" t="str">
        <f t="shared" si="8"/>
        <v/>
      </c>
    </row>
    <row r="101" spans="12:16">
      <c r="L101" t="str">
        <f t="shared" ref="L101:L132" si="9">IF(A101="","",J101-K101)</f>
        <v/>
      </c>
      <c r="M101">
        <v>300</v>
      </c>
      <c r="N101">
        <v>0.1</v>
      </c>
      <c r="O101" t="str">
        <f t="shared" ref="O101:O132" si="10">IF(A101="","",M101*(1-N101))</f>
        <v/>
      </c>
      <c r="P101" t="str">
        <f t="shared" ref="P101:P132" si="11">IF(A101="","",IF(J101=0,0,O101/J101))</f>
        <v/>
      </c>
    </row>
    <row r="102" spans="12:16">
      <c r="L102" t="str">
        <f t="shared" si="9"/>
        <v/>
      </c>
      <c r="M102">
        <v>300</v>
      </c>
      <c r="N102">
        <v>0.1</v>
      </c>
      <c r="O102" t="str">
        <f t="shared" si="10"/>
        <v/>
      </c>
      <c r="P102" t="str">
        <f t="shared" si="11"/>
        <v/>
      </c>
    </row>
    <row r="103" spans="12:16">
      <c r="L103" t="str">
        <f t="shared" si="9"/>
        <v/>
      </c>
      <c r="M103">
        <v>300</v>
      </c>
      <c r="N103">
        <v>0.1</v>
      </c>
      <c r="O103" t="str">
        <f t="shared" si="10"/>
        <v/>
      </c>
      <c r="P103" t="str">
        <f t="shared" si="11"/>
        <v/>
      </c>
    </row>
    <row r="104" spans="12:16">
      <c r="L104" t="str">
        <f t="shared" si="9"/>
        <v/>
      </c>
      <c r="M104">
        <v>300</v>
      </c>
      <c r="N104">
        <v>0.1</v>
      </c>
      <c r="O104" t="str">
        <f t="shared" si="10"/>
        <v/>
      </c>
      <c r="P104" t="str">
        <f t="shared" si="11"/>
        <v/>
      </c>
    </row>
    <row r="105" spans="12:16">
      <c r="L105" t="str">
        <f t="shared" si="9"/>
        <v/>
      </c>
      <c r="M105">
        <v>300</v>
      </c>
      <c r="N105">
        <v>0.1</v>
      </c>
      <c r="O105" t="str">
        <f t="shared" si="10"/>
        <v/>
      </c>
      <c r="P105" t="str">
        <f t="shared" si="11"/>
        <v/>
      </c>
    </row>
    <row r="106" spans="12:16">
      <c r="L106" t="str">
        <f t="shared" si="9"/>
        <v/>
      </c>
      <c r="M106">
        <v>300</v>
      </c>
      <c r="N106">
        <v>0.1</v>
      </c>
      <c r="O106" t="str">
        <f t="shared" si="10"/>
        <v/>
      </c>
      <c r="P106" t="str">
        <f t="shared" si="11"/>
        <v/>
      </c>
    </row>
    <row r="107" spans="12:16">
      <c r="L107" t="str">
        <f t="shared" si="9"/>
        <v/>
      </c>
      <c r="M107">
        <v>300</v>
      </c>
      <c r="N107">
        <v>0.1</v>
      </c>
      <c r="O107" t="str">
        <f t="shared" si="10"/>
        <v/>
      </c>
      <c r="P107" t="str">
        <f t="shared" si="11"/>
        <v/>
      </c>
    </row>
    <row r="108" spans="12:16">
      <c r="L108" t="str">
        <f t="shared" si="9"/>
        <v/>
      </c>
      <c r="M108">
        <v>300</v>
      </c>
      <c r="N108">
        <v>0.1</v>
      </c>
      <c r="O108" t="str">
        <f t="shared" si="10"/>
        <v/>
      </c>
      <c r="P108" t="str">
        <f t="shared" si="11"/>
        <v/>
      </c>
    </row>
    <row r="109" spans="12:16">
      <c r="L109" t="str">
        <f t="shared" si="9"/>
        <v/>
      </c>
      <c r="M109">
        <v>300</v>
      </c>
      <c r="N109">
        <v>0.1</v>
      </c>
      <c r="O109" t="str">
        <f t="shared" si="10"/>
        <v/>
      </c>
      <c r="P109" t="str">
        <f t="shared" si="11"/>
        <v/>
      </c>
    </row>
    <row r="110" spans="12:16">
      <c r="L110" t="str">
        <f t="shared" si="9"/>
        <v/>
      </c>
      <c r="M110">
        <v>300</v>
      </c>
      <c r="N110">
        <v>0.1</v>
      </c>
      <c r="O110" t="str">
        <f t="shared" si="10"/>
        <v/>
      </c>
      <c r="P110" t="str">
        <f t="shared" si="11"/>
        <v/>
      </c>
    </row>
    <row r="111" spans="12:16">
      <c r="L111" t="str">
        <f t="shared" si="9"/>
        <v/>
      </c>
      <c r="M111">
        <v>300</v>
      </c>
      <c r="N111">
        <v>0.1</v>
      </c>
      <c r="O111" t="str">
        <f t="shared" si="10"/>
        <v/>
      </c>
      <c r="P111" t="str">
        <f t="shared" si="11"/>
        <v/>
      </c>
    </row>
    <row r="112" spans="12:16">
      <c r="L112" t="str">
        <f t="shared" si="9"/>
        <v/>
      </c>
      <c r="M112">
        <v>300</v>
      </c>
      <c r="N112">
        <v>0.1</v>
      </c>
      <c r="O112" t="str">
        <f t="shared" si="10"/>
        <v/>
      </c>
      <c r="P112" t="str">
        <f t="shared" si="11"/>
        <v/>
      </c>
    </row>
    <row r="113" spans="12:16">
      <c r="L113" t="str">
        <f t="shared" si="9"/>
        <v/>
      </c>
      <c r="M113">
        <v>300</v>
      </c>
      <c r="N113">
        <v>0.1</v>
      </c>
      <c r="O113" t="str">
        <f t="shared" si="10"/>
        <v/>
      </c>
      <c r="P113" t="str">
        <f t="shared" si="11"/>
        <v/>
      </c>
    </row>
    <row r="114" spans="12:16">
      <c r="L114" t="str">
        <f t="shared" si="9"/>
        <v/>
      </c>
      <c r="M114">
        <v>300</v>
      </c>
      <c r="N114">
        <v>0.1</v>
      </c>
      <c r="O114" t="str">
        <f t="shared" si="10"/>
        <v/>
      </c>
      <c r="P114" t="str">
        <f t="shared" si="11"/>
        <v/>
      </c>
    </row>
    <row r="115" spans="12:16">
      <c r="L115" t="str">
        <f t="shared" si="9"/>
        <v/>
      </c>
      <c r="M115">
        <v>300</v>
      </c>
      <c r="N115">
        <v>0.1</v>
      </c>
      <c r="O115" t="str">
        <f t="shared" si="10"/>
        <v/>
      </c>
      <c r="P115" t="str">
        <f t="shared" si="11"/>
        <v/>
      </c>
    </row>
    <row r="116" spans="12:16">
      <c r="L116" t="str">
        <f t="shared" si="9"/>
        <v/>
      </c>
      <c r="M116">
        <v>300</v>
      </c>
      <c r="N116">
        <v>0.1</v>
      </c>
      <c r="O116" t="str">
        <f t="shared" si="10"/>
        <v/>
      </c>
      <c r="P116" t="str">
        <f t="shared" si="11"/>
        <v/>
      </c>
    </row>
    <row r="117" spans="12:16">
      <c r="L117" t="str">
        <f t="shared" si="9"/>
        <v/>
      </c>
      <c r="M117">
        <v>300</v>
      </c>
      <c r="N117">
        <v>0.1</v>
      </c>
      <c r="O117" t="str">
        <f t="shared" si="10"/>
        <v/>
      </c>
      <c r="P117" t="str">
        <f t="shared" si="11"/>
        <v/>
      </c>
    </row>
    <row r="118" spans="12:16">
      <c r="L118" t="str">
        <f t="shared" si="9"/>
        <v/>
      </c>
      <c r="M118">
        <v>300</v>
      </c>
      <c r="N118">
        <v>0.1</v>
      </c>
      <c r="O118" t="str">
        <f t="shared" si="10"/>
        <v/>
      </c>
      <c r="P118" t="str">
        <f t="shared" si="11"/>
        <v/>
      </c>
    </row>
    <row r="119" spans="12:16">
      <c r="L119" t="str">
        <f t="shared" si="9"/>
        <v/>
      </c>
      <c r="M119">
        <v>300</v>
      </c>
      <c r="N119">
        <v>0.1</v>
      </c>
      <c r="O119" t="str">
        <f t="shared" si="10"/>
        <v/>
      </c>
      <c r="P119" t="str">
        <f t="shared" si="11"/>
        <v/>
      </c>
    </row>
    <row r="120" spans="12:16">
      <c r="L120" t="str">
        <f t="shared" si="9"/>
        <v/>
      </c>
      <c r="M120">
        <v>300</v>
      </c>
      <c r="N120">
        <v>0.1</v>
      </c>
      <c r="O120" t="str">
        <f t="shared" si="10"/>
        <v/>
      </c>
      <c r="P120" t="str">
        <f t="shared" si="11"/>
        <v/>
      </c>
    </row>
    <row r="121" spans="12:16">
      <c r="L121" t="str">
        <f t="shared" si="9"/>
        <v/>
      </c>
      <c r="M121">
        <v>300</v>
      </c>
      <c r="N121">
        <v>0.1</v>
      </c>
      <c r="O121" t="str">
        <f t="shared" si="10"/>
        <v/>
      </c>
      <c r="P121" t="str">
        <f t="shared" si="11"/>
        <v/>
      </c>
    </row>
    <row r="122" spans="12:16">
      <c r="L122" t="str">
        <f t="shared" si="9"/>
        <v/>
      </c>
      <c r="M122">
        <v>300</v>
      </c>
      <c r="N122">
        <v>0.1</v>
      </c>
      <c r="O122" t="str">
        <f t="shared" si="10"/>
        <v/>
      </c>
      <c r="P122" t="str">
        <f t="shared" si="11"/>
        <v/>
      </c>
    </row>
    <row r="123" spans="12:16">
      <c r="L123" t="str">
        <f t="shared" si="9"/>
        <v/>
      </c>
      <c r="M123">
        <v>300</v>
      </c>
      <c r="N123">
        <v>0.1</v>
      </c>
      <c r="O123" t="str">
        <f t="shared" si="10"/>
        <v/>
      </c>
      <c r="P123" t="str">
        <f t="shared" si="11"/>
        <v/>
      </c>
    </row>
    <row r="124" spans="12:16">
      <c r="L124" t="str">
        <f t="shared" si="9"/>
        <v/>
      </c>
      <c r="M124">
        <v>300</v>
      </c>
      <c r="N124">
        <v>0.1</v>
      </c>
      <c r="O124" t="str">
        <f t="shared" si="10"/>
        <v/>
      </c>
      <c r="P124" t="str">
        <f t="shared" si="11"/>
        <v/>
      </c>
    </row>
    <row r="125" spans="12:16">
      <c r="L125" t="str">
        <f t="shared" si="9"/>
        <v/>
      </c>
      <c r="M125">
        <v>300</v>
      </c>
      <c r="N125">
        <v>0.1</v>
      </c>
      <c r="O125" t="str">
        <f t="shared" si="10"/>
        <v/>
      </c>
      <c r="P125" t="str">
        <f t="shared" si="11"/>
        <v/>
      </c>
    </row>
    <row r="126" spans="12:16">
      <c r="L126" t="str">
        <f t="shared" si="9"/>
        <v/>
      </c>
      <c r="M126">
        <v>300</v>
      </c>
      <c r="N126">
        <v>0.1</v>
      </c>
      <c r="O126" t="str">
        <f t="shared" si="10"/>
        <v/>
      </c>
      <c r="P126" t="str">
        <f t="shared" si="11"/>
        <v/>
      </c>
    </row>
    <row r="127" spans="12:16">
      <c r="L127" t="str">
        <f t="shared" si="9"/>
        <v/>
      </c>
      <c r="M127">
        <v>300</v>
      </c>
      <c r="N127">
        <v>0.1</v>
      </c>
      <c r="O127" t="str">
        <f t="shared" si="10"/>
        <v/>
      </c>
      <c r="P127" t="str">
        <f t="shared" si="11"/>
        <v/>
      </c>
    </row>
    <row r="128" spans="12:16">
      <c r="L128" t="str">
        <f t="shared" si="9"/>
        <v/>
      </c>
      <c r="M128">
        <v>300</v>
      </c>
      <c r="N128">
        <v>0.1</v>
      </c>
      <c r="O128" t="str">
        <f t="shared" si="10"/>
        <v/>
      </c>
      <c r="P128" t="str">
        <f t="shared" si="11"/>
        <v/>
      </c>
    </row>
    <row r="129" spans="12:16">
      <c r="L129" t="str">
        <f t="shared" si="9"/>
        <v/>
      </c>
      <c r="M129">
        <v>300</v>
      </c>
      <c r="N129">
        <v>0.1</v>
      </c>
      <c r="O129" t="str">
        <f t="shared" si="10"/>
        <v/>
      </c>
      <c r="P129" t="str">
        <f t="shared" si="11"/>
        <v/>
      </c>
    </row>
    <row r="130" spans="12:16">
      <c r="L130" t="str">
        <f t="shared" si="9"/>
        <v/>
      </c>
      <c r="M130">
        <v>300</v>
      </c>
      <c r="N130">
        <v>0.1</v>
      </c>
      <c r="O130" t="str">
        <f t="shared" si="10"/>
        <v/>
      </c>
      <c r="P130" t="str">
        <f t="shared" si="11"/>
        <v/>
      </c>
    </row>
    <row r="131" spans="12:16">
      <c r="L131" t="str">
        <f t="shared" si="9"/>
        <v/>
      </c>
      <c r="M131">
        <v>300</v>
      </c>
      <c r="N131">
        <v>0.1</v>
      </c>
      <c r="O131" t="str">
        <f t="shared" si="10"/>
        <v/>
      </c>
      <c r="P131" t="str">
        <f t="shared" si="11"/>
        <v/>
      </c>
    </row>
    <row r="132" spans="12:16">
      <c r="L132" t="str">
        <f t="shared" si="9"/>
        <v/>
      </c>
      <c r="M132">
        <v>300</v>
      </c>
      <c r="N132">
        <v>0.1</v>
      </c>
      <c r="O132" t="str">
        <f t="shared" si="10"/>
        <v/>
      </c>
      <c r="P132" t="str">
        <f t="shared" si="11"/>
        <v/>
      </c>
    </row>
    <row r="133" spans="12:16">
      <c r="L133" t="str">
        <f t="shared" ref="L133:L164" si="12">IF(A133="","",J133-K133)</f>
        <v/>
      </c>
      <c r="M133">
        <v>300</v>
      </c>
      <c r="N133">
        <v>0.1</v>
      </c>
      <c r="O133" t="str">
        <f t="shared" ref="O133:O164" si="13">IF(A133="","",M133*(1-N133))</f>
        <v/>
      </c>
      <c r="P133" t="str">
        <f t="shared" ref="P133:P164" si="14">IF(A133="","",IF(J133=0,0,O133/J133))</f>
        <v/>
      </c>
    </row>
    <row r="134" spans="12:16">
      <c r="L134" t="str">
        <f t="shared" si="12"/>
        <v/>
      </c>
      <c r="M134">
        <v>300</v>
      </c>
      <c r="N134">
        <v>0.1</v>
      </c>
      <c r="O134" t="str">
        <f t="shared" si="13"/>
        <v/>
      </c>
      <c r="P134" t="str">
        <f t="shared" si="14"/>
        <v/>
      </c>
    </row>
    <row r="135" spans="12:16">
      <c r="L135" t="str">
        <f t="shared" si="12"/>
        <v/>
      </c>
      <c r="M135">
        <v>300</v>
      </c>
      <c r="N135">
        <v>0.1</v>
      </c>
      <c r="O135" t="str">
        <f t="shared" si="13"/>
        <v/>
      </c>
      <c r="P135" t="str">
        <f t="shared" si="14"/>
        <v/>
      </c>
    </row>
    <row r="136" spans="12:16">
      <c r="L136" t="str">
        <f t="shared" si="12"/>
        <v/>
      </c>
      <c r="M136">
        <v>300</v>
      </c>
      <c r="N136">
        <v>0.1</v>
      </c>
      <c r="O136" t="str">
        <f t="shared" si="13"/>
        <v/>
      </c>
      <c r="P136" t="str">
        <f t="shared" si="14"/>
        <v/>
      </c>
    </row>
    <row r="137" spans="12:16">
      <c r="L137" t="str">
        <f t="shared" si="12"/>
        <v/>
      </c>
      <c r="M137">
        <v>300</v>
      </c>
      <c r="N137">
        <v>0.1</v>
      </c>
      <c r="O137" t="str">
        <f t="shared" si="13"/>
        <v/>
      </c>
      <c r="P137" t="str">
        <f t="shared" si="14"/>
        <v/>
      </c>
    </row>
    <row r="138" spans="12:16">
      <c r="L138" t="str">
        <f t="shared" si="12"/>
        <v/>
      </c>
      <c r="M138">
        <v>300</v>
      </c>
      <c r="N138">
        <v>0.1</v>
      </c>
      <c r="O138" t="str">
        <f t="shared" si="13"/>
        <v/>
      </c>
      <c r="P138" t="str">
        <f t="shared" si="14"/>
        <v/>
      </c>
    </row>
    <row r="139" spans="12:16">
      <c r="L139" t="str">
        <f t="shared" si="12"/>
        <v/>
      </c>
      <c r="M139">
        <v>300</v>
      </c>
      <c r="N139">
        <v>0.1</v>
      </c>
      <c r="O139" t="str">
        <f t="shared" si="13"/>
        <v/>
      </c>
      <c r="P139" t="str">
        <f t="shared" si="14"/>
        <v/>
      </c>
    </row>
    <row r="140" spans="12:16">
      <c r="L140" t="str">
        <f t="shared" si="12"/>
        <v/>
      </c>
      <c r="M140">
        <v>300</v>
      </c>
      <c r="N140">
        <v>0.1</v>
      </c>
      <c r="O140" t="str">
        <f t="shared" si="13"/>
        <v/>
      </c>
      <c r="P140" t="str">
        <f t="shared" si="14"/>
        <v/>
      </c>
    </row>
    <row r="141" spans="12:16">
      <c r="L141" t="str">
        <f t="shared" si="12"/>
        <v/>
      </c>
      <c r="M141">
        <v>300</v>
      </c>
      <c r="N141">
        <v>0.1</v>
      </c>
      <c r="O141" t="str">
        <f t="shared" si="13"/>
        <v/>
      </c>
      <c r="P141" t="str">
        <f t="shared" si="14"/>
        <v/>
      </c>
    </row>
    <row r="142" spans="12:16">
      <c r="L142" t="str">
        <f t="shared" si="12"/>
        <v/>
      </c>
      <c r="M142">
        <v>300</v>
      </c>
      <c r="N142">
        <v>0.1</v>
      </c>
      <c r="O142" t="str">
        <f t="shared" si="13"/>
        <v/>
      </c>
      <c r="P142" t="str">
        <f t="shared" si="14"/>
        <v/>
      </c>
    </row>
    <row r="143" spans="12:16">
      <c r="L143" t="str">
        <f t="shared" si="12"/>
        <v/>
      </c>
      <c r="M143">
        <v>300</v>
      </c>
      <c r="N143">
        <v>0.1</v>
      </c>
      <c r="O143" t="str">
        <f t="shared" si="13"/>
        <v/>
      </c>
      <c r="P143" t="str">
        <f t="shared" si="14"/>
        <v/>
      </c>
    </row>
    <row r="144" spans="12:16">
      <c r="L144" t="str">
        <f t="shared" si="12"/>
        <v/>
      </c>
      <c r="M144">
        <v>300</v>
      </c>
      <c r="N144">
        <v>0.1</v>
      </c>
      <c r="O144" t="str">
        <f t="shared" si="13"/>
        <v/>
      </c>
      <c r="P144" t="str">
        <f t="shared" si="14"/>
        <v/>
      </c>
    </row>
    <row r="145" spans="12:16">
      <c r="L145" t="str">
        <f t="shared" si="12"/>
        <v/>
      </c>
      <c r="M145">
        <v>300</v>
      </c>
      <c r="N145">
        <v>0.1</v>
      </c>
      <c r="O145" t="str">
        <f t="shared" si="13"/>
        <v/>
      </c>
      <c r="P145" t="str">
        <f t="shared" si="14"/>
        <v/>
      </c>
    </row>
    <row r="146" spans="12:16">
      <c r="L146" t="str">
        <f t="shared" si="12"/>
        <v/>
      </c>
      <c r="M146">
        <v>300</v>
      </c>
      <c r="N146">
        <v>0.1</v>
      </c>
      <c r="O146" t="str">
        <f t="shared" si="13"/>
        <v/>
      </c>
      <c r="P146" t="str">
        <f t="shared" si="14"/>
        <v/>
      </c>
    </row>
    <row r="147" spans="12:16">
      <c r="L147" t="str">
        <f t="shared" si="12"/>
        <v/>
      </c>
      <c r="M147">
        <v>300</v>
      </c>
      <c r="N147">
        <v>0.1</v>
      </c>
      <c r="O147" t="str">
        <f t="shared" si="13"/>
        <v/>
      </c>
      <c r="P147" t="str">
        <f t="shared" si="14"/>
        <v/>
      </c>
    </row>
    <row r="148" spans="12:16">
      <c r="L148" t="str">
        <f t="shared" si="12"/>
        <v/>
      </c>
      <c r="M148">
        <v>300</v>
      </c>
      <c r="N148">
        <v>0.1</v>
      </c>
      <c r="O148" t="str">
        <f t="shared" si="13"/>
        <v/>
      </c>
      <c r="P148" t="str">
        <f t="shared" si="14"/>
        <v/>
      </c>
    </row>
    <row r="149" spans="12:16">
      <c r="L149" t="str">
        <f t="shared" si="12"/>
        <v/>
      </c>
      <c r="M149">
        <v>300</v>
      </c>
      <c r="N149">
        <v>0.1</v>
      </c>
      <c r="O149" t="str">
        <f t="shared" si="13"/>
        <v/>
      </c>
      <c r="P149" t="str">
        <f t="shared" si="14"/>
        <v/>
      </c>
    </row>
    <row r="150" spans="12:16">
      <c r="L150" t="str">
        <f t="shared" si="12"/>
        <v/>
      </c>
      <c r="M150">
        <v>300</v>
      </c>
      <c r="N150">
        <v>0.1</v>
      </c>
      <c r="O150" t="str">
        <f t="shared" si="13"/>
        <v/>
      </c>
      <c r="P150" t="str">
        <f t="shared" si="14"/>
        <v/>
      </c>
    </row>
    <row r="151" spans="12:16">
      <c r="L151" t="str">
        <f t="shared" si="12"/>
        <v/>
      </c>
      <c r="M151">
        <v>300</v>
      </c>
      <c r="N151">
        <v>0.1</v>
      </c>
      <c r="O151" t="str">
        <f t="shared" si="13"/>
        <v/>
      </c>
      <c r="P151" t="str">
        <f t="shared" si="14"/>
        <v/>
      </c>
    </row>
    <row r="152" spans="12:16">
      <c r="L152" t="str">
        <f t="shared" si="12"/>
        <v/>
      </c>
      <c r="M152">
        <v>300</v>
      </c>
      <c r="N152">
        <v>0.1</v>
      </c>
      <c r="O152" t="str">
        <f t="shared" si="13"/>
        <v/>
      </c>
      <c r="P152" t="str">
        <f t="shared" si="14"/>
        <v/>
      </c>
    </row>
    <row r="153" spans="12:16">
      <c r="L153" t="str">
        <f t="shared" si="12"/>
        <v/>
      </c>
      <c r="M153">
        <v>300</v>
      </c>
      <c r="N153">
        <v>0.1</v>
      </c>
      <c r="O153" t="str">
        <f t="shared" si="13"/>
        <v/>
      </c>
      <c r="P153" t="str">
        <f t="shared" si="14"/>
        <v/>
      </c>
    </row>
    <row r="154" spans="12:16">
      <c r="L154" t="str">
        <f t="shared" si="12"/>
        <v/>
      </c>
      <c r="M154">
        <v>300</v>
      </c>
      <c r="N154">
        <v>0.1</v>
      </c>
      <c r="O154" t="str">
        <f t="shared" si="13"/>
        <v/>
      </c>
      <c r="P154" t="str">
        <f t="shared" si="14"/>
        <v/>
      </c>
    </row>
    <row r="155" spans="12:16">
      <c r="L155" t="str">
        <f t="shared" si="12"/>
        <v/>
      </c>
      <c r="M155">
        <v>300</v>
      </c>
      <c r="N155">
        <v>0.1</v>
      </c>
      <c r="O155" t="str">
        <f t="shared" si="13"/>
        <v/>
      </c>
      <c r="P155" t="str">
        <f t="shared" si="14"/>
        <v/>
      </c>
    </row>
    <row r="156" spans="12:16">
      <c r="L156" t="str">
        <f t="shared" si="12"/>
        <v/>
      </c>
      <c r="M156">
        <v>300</v>
      </c>
      <c r="N156">
        <v>0.1</v>
      </c>
      <c r="O156" t="str">
        <f t="shared" si="13"/>
        <v/>
      </c>
      <c r="P156" t="str">
        <f t="shared" si="14"/>
        <v/>
      </c>
    </row>
    <row r="157" spans="12:16">
      <c r="L157" t="str">
        <f t="shared" si="12"/>
        <v/>
      </c>
      <c r="M157">
        <v>300</v>
      </c>
      <c r="N157">
        <v>0.1</v>
      </c>
      <c r="O157" t="str">
        <f t="shared" si="13"/>
        <v/>
      </c>
      <c r="P157" t="str">
        <f t="shared" si="14"/>
        <v/>
      </c>
    </row>
    <row r="158" spans="12:16">
      <c r="L158" t="str">
        <f t="shared" si="12"/>
        <v/>
      </c>
      <c r="M158">
        <v>300</v>
      </c>
      <c r="N158">
        <v>0.1</v>
      </c>
      <c r="O158" t="str">
        <f t="shared" si="13"/>
        <v/>
      </c>
      <c r="P158" t="str">
        <f t="shared" si="14"/>
        <v/>
      </c>
    </row>
    <row r="159" spans="12:16">
      <c r="L159" t="str">
        <f t="shared" si="12"/>
        <v/>
      </c>
      <c r="M159">
        <v>300</v>
      </c>
      <c r="N159">
        <v>0.1</v>
      </c>
      <c r="O159" t="str">
        <f t="shared" si="13"/>
        <v/>
      </c>
      <c r="P159" t="str">
        <f t="shared" si="14"/>
        <v/>
      </c>
    </row>
    <row r="160" spans="12:16">
      <c r="L160" t="str">
        <f t="shared" si="12"/>
        <v/>
      </c>
      <c r="M160">
        <v>300</v>
      </c>
      <c r="N160">
        <v>0.1</v>
      </c>
      <c r="O160" t="str">
        <f t="shared" si="13"/>
        <v/>
      </c>
      <c r="P160" t="str">
        <f t="shared" si="14"/>
        <v/>
      </c>
    </row>
    <row r="161" spans="12:16">
      <c r="L161" t="str">
        <f t="shared" si="12"/>
        <v/>
      </c>
      <c r="M161">
        <v>300</v>
      </c>
      <c r="N161">
        <v>0.1</v>
      </c>
      <c r="O161" t="str">
        <f t="shared" si="13"/>
        <v/>
      </c>
      <c r="P161" t="str">
        <f t="shared" si="14"/>
        <v/>
      </c>
    </row>
    <row r="162" spans="12:16">
      <c r="L162" t="str">
        <f t="shared" si="12"/>
        <v/>
      </c>
      <c r="M162">
        <v>300</v>
      </c>
      <c r="N162">
        <v>0.1</v>
      </c>
      <c r="O162" t="str">
        <f t="shared" si="13"/>
        <v/>
      </c>
      <c r="P162" t="str">
        <f t="shared" si="14"/>
        <v/>
      </c>
    </row>
    <row r="163" spans="12:16">
      <c r="L163" t="str">
        <f t="shared" si="12"/>
        <v/>
      </c>
      <c r="M163">
        <v>300</v>
      </c>
      <c r="N163">
        <v>0.1</v>
      </c>
      <c r="O163" t="str">
        <f t="shared" si="13"/>
        <v/>
      </c>
      <c r="P163" t="str">
        <f t="shared" si="14"/>
        <v/>
      </c>
    </row>
    <row r="164" spans="12:16">
      <c r="L164" t="str">
        <f t="shared" si="12"/>
        <v/>
      </c>
      <c r="M164">
        <v>300</v>
      </c>
      <c r="N164">
        <v>0.1</v>
      </c>
      <c r="O164" t="str">
        <f t="shared" si="13"/>
        <v/>
      </c>
      <c r="P164" t="str">
        <f t="shared" si="14"/>
        <v/>
      </c>
    </row>
    <row r="165" spans="12:16">
      <c r="L165" t="str">
        <f t="shared" ref="L165:L196" si="15">IF(A165="","",J165-K165)</f>
        <v/>
      </c>
      <c r="M165">
        <v>300</v>
      </c>
      <c r="N165">
        <v>0.1</v>
      </c>
      <c r="O165" t="str">
        <f t="shared" ref="O165:O196" si="16">IF(A165="","",M165*(1-N165))</f>
        <v/>
      </c>
      <c r="P165" t="str">
        <f t="shared" ref="P165:P196" si="17">IF(A165="","",IF(J165=0,0,O165/J165))</f>
        <v/>
      </c>
    </row>
    <row r="166" spans="12:16">
      <c r="L166" t="str">
        <f t="shared" si="15"/>
        <v/>
      </c>
      <c r="M166">
        <v>300</v>
      </c>
      <c r="N166">
        <v>0.1</v>
      </c>
      <c r="O166" t="str">
        <f t="shared" si="16"/>
        <v/>
      </c>
      <c r="P166" t="str">
        <f t="shared" si="17"/>
        <v/>
      </c>
    </row>
    <row r="167" spans="12:16">
      <c r="L167" t="str">
        <f t="shared" si="15"/>
        <v/>
      </c>
      <c r="M167">
        <v>300</v>
      </c>
      <c r="N167">
        <v>0.1</v>
      </c>
      <c r="O167" t="str">
        <f t="shared" si="16"/>
        <v/>
      </c>
      <c r="P167" t="str">
        <f t="shared" si="17"/>
        <v/>
      </c>
    </row>
    <row r="168" spans="12:16">
      <c r="L168" t="str">
        <f t="shared" si="15"/>
        <v/>
      </c>
      <c r="M168">
        <v>300</v>
      </c>
      <c r="N168">
        <v>0.1</v>
      </c>
      <c r="O168" t="str">
        <f t="shared" si="16"/>
        <v/>
      </c>
      <c r="P168" t="str">
        <f t="shared" si="17"/>
        <v/>
      </c>
    </row>
    <row r="169" spans="12:16">
      <c r="L169" t="str">
        <f t="shared" si="15"/>
        <v/>
      </c>
      <c r="M169">
        <v>300</v>
      </c>
      <c r="N169">
        <v>0.1</v>
      </c>
      <c r="O169" t="str">
        <f t="shared" si="16"/>
        <v/>
      </c>
      <c r="P169" t="str">
        <f t="shared" si="17"/>
        <v/>
      </c>
    </row>
    <row r="170" spans="12:16">
      <c r="L170" t="str">
        <f t="shared" si="15"/>
        <v/>
      </c>
      <c r="M170">
        <v>300</v>
      </c>
      <c r="N170">
        <v>0.1</v>
      </c>
      <c r="O170" t="str">
        <f t="shared" si="16"/>
        <v/>
      </c>
      <c r="P170" t="str">
        <f t="shared" si="17"/>
        <v/>
      </c>
    </row>
    <row r="171" spans="12:16">
      <c r="L171" t="str">
        <f t="shared" si="15"/>
        <v/>
      </c>
      <c r="M171">
        <v>300</v>
      </c>
      <c r="N171">
        <v>0.1</v>
      </c>
      <c r="O171" t="str">
        <f t="shared" si="16"/>
        <v/>
      </c>
      <c r="P171" t="str">
        <f t="shared" si="17"/>
        <v/>
      </c>
    </row>
    <row r="172" spans="12:16">
      <c r="L172" t="str">
        <f t="shared" si="15"/>
        <v/>
      </c>
      <c r="M172">
        <v>300</v>
      </c>
      <c r="N172">
        <v>0.1</v>
      </c>
      <c r="O172" t="str">
        <f t="shared" si="16"/>
        <v/>
      </c>
      <c r="P172" t="str">
        <f t="shared" si="17"/>
        <v/>
      </c>
    </row>
    <row r="173" spans="12:16">
      <c r="L173" t="str">
        <f t="shared" si="15"/>
        <v/>
      </c>
      <c r="M173">
        <v>300</v>
      </c>
      <c r="N173">
        <v>0.1</v>
      </c>
      <c r="O173" t="str">
        <f t="shared" si="16"/>
        <v/>
      </c>
      <c r="P173" t="str">
        <f t="shared" si="17"/>
        <v/>
      </c>
    </row>
    <row r="174" spans="12:16">
      <c r="L174" t="str">
        <f t="shared" si="15"/>
        <v/>
      </c>
      <c r="M174">
        <v>300</v>
      </c>
      <c r="N174">
        <v>0.1</v>
      </c>
      <c r="O174" t="str">
        <f t="shared" si="16"/>
        <v/>
      </c>
      <c r="P174" t="str">
        <f t="shared" si="17"/>
        <v/>
      </c>
    </row>
    <row r="175" spans="12:16">
      <c r="L175" t="str">
        <f t="shared" si="15"/>
        <v/>
      </c>
      <c r="M175">
        <v>300</v>
      </c>
      <c r="N175">
        <v>0.1</v>
      </c>
      <c r="O175" t="str">
        <f t="shared" si="16"/>
        <v/>
      </c>
      <c r="P175" t="str">
        <f t="shared" si="17"/>
        <v/>
      </c>
    </row>
    <row r="176" spans="12:16">
      <c r="L176" t="str">
        <f t="shared" si="15"/>
        <v/>
      </c>
      <c r="M176">
        <v>300</v>
      </c>
      <c r="N176">
        <v>0.1</v>
      </c>
      <c r="O176" t="str">
        <f t="shared" si="16"/>
        <v/>
      </c>
      <c r="P176" t="str">
        <f t="shared" si="17"/>
        <v/>
      </c>
    </row>
    <row r="177" spans="12:16">
      <c r="L177" t="str">
        <f t="shared" si="15"/>
        <v/>
      </c>
      <c r="M177">
        <v>300</v>
      </c>
      <c r="N177">
        <v>0.1</v>
      </c>
      <c r="O177" t="str">
        <f t="shared" si="16"/>
        <v/>
      </c>
      <c r="P177" t="str">
        <f t="shared" si="17"/>
        <v/>
      </c>
    </row>
    <row r="178" spans="12:16">
      <c r="L178" t="str">
        <f t="shared" si="15"/>
        <v/>
      </c>
      <c r="M178">
        <v>300</v>
      </c>
      <c r="N178">
        <v>0.1</v>
      </c>
      <c r="O178" t="str">
        <f t="shared" si="16"/>
        <v/>
      </c>
      <c r="P178" t="str">
        <f t="shared" si="17"/>
        <v/>
      </c>
    </row>
    <row r="179" spans="12:16">
      <c r="L179" t="str">
        <f t="shared" si="15"/>
        <v/>
      </c>
      <c r="M179">
        <v>300</v>
      </c>
      <c r="N179">
        <v>0.1</v>
      </c>
      <c r="O179" t="str">
        <f t="shared" si="16"/>
        <v/>
      </c>
      <c r="P179" t="str">
        <f t="shared" si="17"/>
        <v/>
      </c>
    </row>
    <row r="180" spans="12:16">
      <c r="L180" t="str">
        <f t="shared" si="15"/>
        <v/>
      </c>
      <c r="M180">
        <v>300</v>
      </c>
      <c r="N180">
        <v>0.1</v>
      </c>
      <c r="O180" t="str">
        <f t="shared" si="16"/>
        <v/>
      </c>
      <c r="P180" t="str">
        <f t="shared" si="17"/>
        <v/>
      </c>
    </row>
    <row r="181" spans="12:16">
      <c r="L181" t="str">
        <f t="shared" si="15"/>
        <v/>
      </c>
      <c r="M181">
        <v>300</v>
      </c>
      <c r="N181">
        <v>0.1</v>
      </c>
      <c r="O181" t="str">
        <f t="shared" si="16"/>
        <v/>
      </c>
      <c r="P181" t="str">
        <f t="shared" si="17"/>
        <v/>
      </c>
    </row>
    <row r="182" spans="12:16">
      <c r="L182" t="str">
        <f t="shared" si="15"/>
        <v/>
      </c>
      <c r="M182">
        <v>300</v>
      </c>
      <c r="N182">
        <v>0.1</v>
      </c>
      <c r="O182" t="str">
        <f t="shared" si="16"/>
        <v/>
      </c>
      <c r="P182" t="str">
        <f t="shared" si="17"/>
        <v/>
      </c>
    </row>
    <row r="183" spans="12:16">
      <c r="L183" t="str">
        <f t="shared" si="15"/>
        <v/>
      </c>
      <c r="M183">
        <v>300</v>
      </c>
      <c r="N183">
        <v>0.1</v>
      </c>
      <c r="O183" t="str">
        <f t="shared" si="16"/>
        <v/>
      </c>
      <c r="P183" t="str">
        <f t="shared" si="17"/>
        <v/>
      </c>
    </row>
    <row r="184" spans="12:16">
      <c r="L184" t="str">
        <f t="shared" si="15"/>
        <v/>
      </c>
      <c r="M184">
        <v>300</v>
      </c>
      <c r="N184">
        <v>0.1</v>
      </c>
      <c r="O184" t="str">
        <f t="shared" si="16"/>
        <v/>
      </c>
      <c r="P184" t="str">
        <f t="shared" si="17"/>
        <v/>
      </c>
    </row>
    <row r="185" spans="12:16">
      <c r="L185" t="str">
        <f t="shared" si="15"/>
        <v/>
      </c>
      <c r="M185">
        <v>300</v>
      </c>
      <c r="N185">
        <v>0.1</v>
      </c>
      <c r="O185" t="str">
        <f t="shared" si="16"/>
        <v/>
      </c>
      <c r="P185" t="str">
        <f t="shared" si="17"/>
        <v/>
      </c>
    </row>
    <row r="186" spans="12:16">
      <c r="L186" t="str">
        <f t="shared" si="15"/>
        <v/>
      </c>
      <c r="M186">
        <v>300</v>
      </c>
      <c r="N186">
        <v>0.1</v>
      </c>
      <c r="O186" t="str">
        <f t="shared" si="16"/>
        <v/>
      </c>
      <c r="P186" t="str">
        <f t="shared" si="17"/>
        <v/>
      </c>
    </row>
    <row r="187" spans="12:16">
      <c r="L187" t="str">
        <f t="shared" si="15"/>
        <v/>
      </c>
      <c r="M187">
        <v>300</v>
      </c>
      <c r="N187">
        <v>0.1</v>
      </c>
      <c r="O187" t="str">
        <f t="shared" si="16"/>
        <v/>
      </c>
      <c r="P187" t="str">
        <f t="shared" si="17"/>
        <v/>
      </c>
    </row>
    <row r="188" spans="12:16">
      <c r="L188" t="str">
        <f t="shared" si="15"/>
        <v/>
      </c>
      <c r="M188">
        <v>300</v>
      </c>
      <c r="N188">
        <v>0.1</v>
      </c>
      <c r="O188" t="str">
        <f t="shared" si="16"/>
        <v/>
      </c>
      <c r="P188" t="str">
        <f t="shared" si="17"/>
        <v/>
      </c>
    </row>
    <row r="189" spans="12:16">
      <c r="L189" t="str">
        <f t="shared" si="15"/>
        <v/>
      </c>
      <c r="M189">
        <v>300</v>
      </c>
      <c r="N189">
        <v>0.1</v>
      </c>
      <c r="O189" t="str">
        <f t="shared" si="16"/>
        <v/>
      </c>
      <c r="P189" t="str">
        <f t="shared" si="17"/>
        <v/>
      </c>
    </row>
    <row r="190" spans="12:16">
      <c r="L190" t="str">
        <f t="shared" si="15"/>
        <v/>
      </c>
      <c r="M190">
        <v>300</v>
      </c>
      <c r="N190">
        <v>0.1</v>
      </c>
      <c r="O190" t="str">
        <f t="shared" si="16"/>
        <v/>
      </c>
      <c r="P190" t="str">
        <f t="shared" si="17"/>
        <v/>
      </c>
    </row>
    <row r="191" spans="12:16">
      <c r="L191" t="str">
        <f t="shared" si="15"/>
        <v/>
      </c>
      <c r="M191">
        <v>300</v>
      </c>
      <c r="N191">
        <v>0.1</v>
      </c>
      <c r="O191" t="str">
        <f t="shared" si="16"/>
        <v/>
      </c>
      <c r="P191" t="str">
        <f t="shared" si="17"/>
        <v/>
      </c>
    </row>
    <row r="192" spans="12:16">
      <c r="L192" t="str">
        <f t="shared" si="15"/>
        <v/>
      </c>
      <c r="M192">
        <v>300</v>
      </c>
      <c r="N192">
        <v>0.1</v>
      </c>
      <c r="O192" t="str">
        <f t="shared" si="16"/>
        <v/>
      </c>
      <c r="P192" t="str">
        <f t="shared" si="17"/>
        <v/>
      </c>
    </row>
    <row r="193" spans="12:16">
      <c r="L193" t="str">
        <f t="shared" si="15"/>
        <v/>
      </c>
      <c r="M193">
        <v>300</v>
      </c>
      <c r="N193">
        <v>0.1</v>
      </c>
      <c r="O193" t="str">
        <f t="shared" si="16"/>
        <v/>
      </c>
      <c r="P193" t="str">
        <f t="shared" si="17"/>
        <v/>
      </c>
    </row>
    <row r="194" spans="12:16">
      <c r="L194" t="str">
        <f t="shared" si="15"/>
        <v/>
      </c>
      <c r="M194">
        <v>300</v>
      </c>
      <c r="N194">
        <v>0.1</v>
      </c>
      <c r="O194" t="str">
        <f t="shared" si="16"/>
        <v/>
      </c>
      <c r="P194" t="str">
        <f t="shared" si="17"/>
        <v/>
      </c>
    </row>
    <row r="195" spans="12:16">
      <c r="L195" t="str">
        <f t="shared" si="15"/>
        <v/>
      </c>
      <c r="M195">
        <v>300</v>
      </c>
      <c r="N195">
        <v>0.1</v>
      </c>
      <c r="O195" t="str">
        <f t="shared" si="16"/>
        <v/>
      </c>
      <c r="P195" t="str">
        <f t="shared" si="17"/>
        <v/>
      </c>
    </row>
    <row r="196" spans="12:16">
      <c r="L196" t="str">
        <f t="shared" si="15"/>
        <v/>
      </c>
      <c r="M196">
        <v>300</v>
      </c>
      <c r="N196">
        <v>0.1</v>
      </c>
      <c r="O196" t="str">
        <f t="shared" si="16"/>
        <v/>
      </c>
      <c r="P196" t="str">
        <f t="shared" si="17"/>
        <v/>
      </c>
    </row>
    <row r="197" spans="12:16">
      <c r="L197" t="str">
        <f t="shared" ref="L197:L228" si="18">IF(A197="","",J197-K197)</f>
        <v/>
      </c>
      <c r="M197">
        <v>300</v>
      </c>
      <c r="N197">
        <v>0.1</v>
      </c>
      <c r="O197" t="str">
        <f t="shared" ref="O197:O228" si="19">IF(A197="","",M197*(1-N197))</f>
        <v/>
      </c>
      <c r="P197" t="str">
        <f t="shared" ref="P197:P228" si="20">IF(A197="","",IF(J197=0,0,O197/J197))</f>
        <v/>
      </c>
    </row>
    <row r="198" spans="12:16">
      <c r="L198" t="str">
        <f t="shared" si="18"/>
        <v/>
      </c>
      <c r="M198">
        <v>300</v>
      </c>
      <c r="N198">
        <v>0.1</v>
      </c>
      <c r="O198" t="str">
        <f t="shared" si="19"/>
        <v/>
      </c>
      <c r="P198" t="str">
        <f t="shared" si="20"/>
        <v/>
      </c>
    </row>
    <row r="199" spans="12:16">
      <c r="L199" t="str">
        <f t="shared" si="18"/>
        <v/>
      </c>
      <c r="M199">
        <v>300</v>
      </c>
      <c r="N199">
        <v>0.1</v>
      </c>
      <c r="O199" t="str">
        <f t="shared" si="19"/>
        <v/>
      </c>
      <c r="P199" t="str">
        <f t="shared" si="20"/>
        <v/>
      </c>
    </row>
    <row r="200" spans="12:16">
      <c r="L200" t="str">
        <f t="shared" si="18"/>
        <v/>
      </c>
      <c r="M200">
        <v>300</v>
      </c>
      <c r="N200">
        <v>0.1</v>
      </c>
      <c r="O200" t="str">
        <f t="shared" si="19"/>
        <v/>
      </c>
      <c r="P200" t="str">
        <f t="shared" si="20"/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J1"/>
    </sheetView>
  </sheetViews>
  <sheetFormatPr defaultRowHeight="14.25"/>
  <cols>
    <col min="1" max="1" width="13.125" customWidth="1"/>
    <col min="2" max="2" width="8" customWidth="1"/>
    <col min="3" max="3" width="7.875" customWidth="1"/>
    <col min="4" max="4" width="11.625" customWidth="1"/>
    <col min="5" max="5" width="15.125" customWidth="1"/>
    <col min="6" max="6" width="12.5" customWidth="1"/>
    <col min="7" max="7" width="12" customWidth="1"/>
    <col min="8" max="8" width="9.875" customWidth="1"/>
    <col min="9" max="9" width="9.375" customWidth="1"/>
    <col min="10" max="10" width="14.375" customWidth="1"/>
    <col min="11" max="11" width="12.125" customWidth="1"/>
    <col min="12" max="12" width="12.625" customWidth="1"/>
    <col min="13" max="13" width="6" customWidth="1"/>
  </cols>
  <sheetData>
    <row r="1" spans="1:26" ht="27.95" customHeight="1">
      <c r="A1" s="20" t="s">
        <v>417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418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1" t="s">
        <v>419</v>
      </c>
      <c r="B4" s="1" t="s">
        <v>388</v>
      </c>
      <c r="C4" s="1" t="s">
        <v>209</v>
      </c>
      <c r="D4" s="1" t="s">
        <v>305</v>
      </c>
      <c r="E4" s="1" t="s">
        <v>211</v>
      </c>
      <c r="F4" s="1" t="s">
        <v>420</v>
      </c>
      <c r="G4" s="1" t="s">
        <v>421</v>
      </c>
      <c r="H4" s="1" t="s">
        <v>422</v>
      </c>
      <c r="I4" s="1" t="s">
        <v>423</v>
      </c>
      <c r="J4" s="1" t="s">
        <v>424</v>
      </c>
      <c r="K4" s="1" t="s">
        <v>425</v>
      </c>
      <c r="L4" s="1" t="s">
        <v>426</v>
      </c>
      <c r="M4" s="1" t="s">
        <v>84</v>
      </c>
    </row>
    <row r="5" spans="1:26" ht="28.5">
      <c r="A5" s="3" t="s">
        <v>427</v>
      </c>
      <c r="B5" s="3" t="s">
        <v>405</v>
      </c>
      <c r="C5" s="3" t="s">
        <v>242</v>
      </c>
      <c r="D5" s="3" t="s">
        <v>243</v>
      </c>
      <c r="E5" s="3" t="s">
        <v>244</v>
      </c>
      <c r="F5" s="3" t="s">
        <v>91</v>
      </c>
      <c r="G5" s="3">
        <v>46197.666666666664</v>
      </c>
      <c r="H5" s="3" t="s">
        <v>173</v>
      </c>
      <c r="I5" s="3" t="s">
        <v>91</v>
      </c>
      <c r="J5" s="3" t="s">
        <v>164</v>
      </c>
      <c r="K5" s="3" t="s">
        <v>91</v>
      </c>
      <c r="L5" s="3" t="s">
        <v>34</v>
      </c>
      <c r="M5" s="3" t="s">
        <v>258</v>
      </c>
    </row>
    <row r="6" spans="1:26" ht="28.5">
      <c r="A6" s="3" t="s">
        <v>428</v>
      </c>
      <c r="B6" s="3" t="s">
        <v>405</v>
      </c>
      <c r="C6" s="3" t="s">
        <v>259</v>
      </c>
      <c r="D6" s="3" t="s">
        <v>260</v>
      </c>
      <c r="E6" s="3" t="s">
        <v>261</v>
      </c>
      <c r="F6" s="3" t="s">
        <v>91</v>
      </c>
      <c r="G6" s="3">
        <v>46197.666666666664</v>
      </c>
      <c r="H6" s="3" t="s">
        <v>173</v>
      </c>
      <c r="I6" s="3" t="s">
        <v>91</v>
      </c>
      <c r="J6" s="3" t="s">
        <v>164</v>
      </c>
      <c r="K6" s="3" t="s">
        <v>91</v>
      </c>
      <c r="L6" s="3" t="s">
        <v>34</v>
      </c>
      <c r="M6" s="3" t="s">
        <v>258</v>
      </c>
    </row>
    <row r="7" spans="1:26" ht="28.5">
      <c r="A7" s="3" t="s">
        <v>429</v>
      </c>
      <c r="B7" s="3" t="s">
        <v>405</v>
      </c>
      <c r="C7" s="3" t="s">
        <v>269</v>
      </c>
      <c r="D7" s="3" t="s">
        <v>270</v>
      </c>
      <c r="E7" s="3" t="s">
        <v>271</v>
      </c>
      <c r="F7" s="3" t="s">
        <v>91</v>
      </c>
      <c r="G7" s="3">
        <v>46197.666666666664</v>
      </c>
      <c r="H7" s="3" t="s">
        <v>191</v>
      </c>
      <c r="I7" s="3" t="s">
        <v>34</v>
      </c>
      <c r="J7" s="3" t="s">
        <v>164</v>
      </c>
      <c r="K7" s="3" t="s">
        <v>91</v>
      </c>
      <c r="L7" s="3" t="s">
        <v>34</v>
      </c>
      <c r="M7" s="3" t="s">
        <v>258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sqref="A1:J1"/>
    </sheetView>
  </sheetViews>
  <sheetFormatPr defaultRowHeight="14.25"/>
  <cols>
    <col min="1" max="1" width="7.25" customWidth="1"/>
    <col min="2" max="2" width="8" customWidth="1"/>
    <col min="3" max="3" width="8.5" customWidth="1"/>
    <col min="4" max="4" width="7.875" customWidth="1"/>
    <col min="5" max="5" width="11.625" customWidth="1"/>
    <col min="6" max="6" width="7.875" customWidth="1"/>
    <col min="7" max="7" width="4.75" customWidth="1"/>
    <col min="8" max="8" width="7" customWidth="1"/>
    <col min="9" max="9" width="12" customWidth="1"/>
    <col min="10" max="10" width="10.5" customWidth="1"/>
    <col min="11" max="11" width="7.375" customWidth="1"/>
    <col min="12" max="12" width="15.875" customWidth="1"/>
    <col min="13" max="13" width="11.5" customWidth="1"/>
    <col min="14" max="14" width="11.625" customWidth="1"/>
  </cols>
  <sheetData>
    <row r="1" spans="1:26" ht="27.95" customHeight="1">
      <c r="A1" s="20" t="s">
        <v>430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431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6" t="s">
        <v>432</v>
      </c>
      <c r="B4" s="6" t="s">
        <v>388</v>
      </c>
      <c r="C4" s="6" t="s">
        <v>77</v>
      </c>
      <c r="D4" s="6" t="s">
        <v>209</v>
      </c>
      <c r="E4" s="6" t="s">
        <v>305</v>
      </c>
      <c r="F4" s="6" t="s">
        <v>122</v>
      </c>
      <c r="G4" s="6" t="s">
        <v>135</v>
      </c>
      <c r="H4" s="6" t="s">
        <v>433</v>
      </c>
      <c r="I4" s="6" t="s">
        <v>434</v>
      </c>
      <c r="J4" s="6" t="s">
        <v>435</v>
      </c>
      <c r="K4" s="6" t="s">
        <v>436</v>
      </c>
      <c r="L4" s="6" t="s">
        <v>437</v>
      </c>
      <c r="M4" s="6" t="s">
        <v>160</v>
      </c>
      <c r="N4" s="6" t="s">
        <v>84</v>
      </c>
    </row>
    <row r="5" spans="1:26" ht="28.5">
      <c r="A5" s="3" t="s">
        <v>438</v>
      </c>
      <c r="B5" s="3" t="s">
        <v>405</v>
      </c>
      <c r="C5" s="3" t="s">
        <v>86</v>
      </c>
      <c r="D5" s="3" t="s">
        <v>242</v>
      </c>
      <c r="E5" s="3" t="s">
        <v>243</v>
      </c>
      <c r="F5" s="3" t="s">
        <v>89</v>
      </c>
      <c r="G5" s="3">
        <v>0</v>
      </c>
      <c r="H5" s="3" t="s">
        <v>34</v>
      </c>
      <c r="I5" s="3" t="s">
        <v>439</v>
      </c>
      <c r="J5" s="3">
        <v>46198.9375</v>
      </c>
      <c r="K5" s="3" t="s">
        <v>34</v>
      </c>
      <c r="L5" s="3" t="s">
        <v>34</v>
      </c>
      <c r="M5" s="3" t="s">
        <v>169</v>
      </c>
      <c r="N5" s="3" t="s">
        <v>440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sqref="A1:J1"/>
    </sheetView>
  </sheetViews>
  <sheetFormatPr defaultRowHeight="14.25"/>
  <cols>
    <col min="1" max="1" width="8" customWidth="1"/>
    <col min="2" max="2" width="13.125" customWidth="1"/>
    <col min="3" max="3" width="15.125" customWidth="1"/>
    <col min="4" max="4" width="8" customWidth="1"/>
    <col min="5" max="5" width="16" customWidth="1"/>
    <col min="6" max="6" width="12.25" customWidth="1"/>
    <col min="7" max="7" width="11.25" customWidth="1"/>
    <col min="8" max="8" width="12.25" customWidth="1"/>
    <col min="9" max="9" width="11.75" customWidth="1"/>
    <col min="10" max="10" width="12.25" customWidth="1"/>
    <col min="11" max="11" width="8.875" customWidth="1"/>
    <col min="12" max="12" width="14.625" customWidth="1"/>
    <col min="13" max="13" width="10.75" customWidth="1"/>
    <col min="14" max="14" width="10.5" customWidth="1"/>
    <col min="15" max="15" width="11.5" customWidth="1"/>
  </cols>
  <sheetData>
    <row r="1" spans="1:26" ht="27.95" customHeight="1">
      <c r="A1" s="20" t="s">
        <v>441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442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4" t="s">
        <v>443</v>
      </c>
      <c r="B4" s="4" t="s">
        <v>444</v>
      </c>
      <c r="C4" s="4" t="s">
        <v>445</v>
      </c>
      <c r="D4" s="4" t="s">
        <v>388</v>
      </c>
      <c r="E4" s="4" t="s">
        <v>446</v>
      </c>
      <c r="F4" s="4" t="s">
        <v>447</v>
      </c>
      <c r="G4" s="4" t="s">
        <v>448</v>
      </c>
      <c r="H4" s="4" t="s">
        <v>449</v>
      </c>
      <c r="I4" s="4" t="s">
        <v>450</v>
      </c>
      <c r="J4" s="4" t="s">
        <v>451</v>
      </c>
      <c r="K4" s="4" t="s">
        <v>452</v>
      </c>
      <c r="L4" s="4" t="s">
        <v>453</v>
      </c>
      <c r="M4" s="4" t="s">
        <v>454</v>
      </c>
      <c r="N4" s="4" t="s">
        <v>435</v>
      </c>
      <c r="O4" s="4" t="s">
        <v>160</v>
      </c>
    </row>
    <row r="5" spans="1:26" ht="28.5">
      <c r="A5" s="3" t="s">
        <v>455</v>
      </c>
      <c r="B5" s="3" t="s">
        <v>242</v>
      </c>
      <c r="C5" s="3" t="s">
        <v>243</v>
      </c>
      <c r="D5" s="3" t="s">
        <v>405</v>
      </c>
      <c r="E5" s="3" t="s">
        <v>259</v>
      </c>
      <c r="F5" s="3" t="s">
        <v>260</v>
      </c>
      <c r="G5" s="3">
        <v>5</v>
      </c>
      <c r="H5" s="3">
        <v>5</v>
      </c>
      <c r="I5" s="3">
        <v>5</v>
      </c>
      <c r="J5" s="3">
        <v>5</v>
      </c>
      <c r="K5" s="3">
        <v>4</v>
      </c>
      <c r="L5" s="3" t="s">
        <v>91</v>
      </c>
      <c r="M5" s="3" t="s">
        <v>456</v>
      </c>
      <c r="N5" s="3">
        <v>46198.958333333336</v>
      </c>
      <c r="O5" s="3" t="s">
        <v>147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selection sqref="A1:J1"/>
    </sheetView>
  </sheetViews>
  <sheetFormatPr defaultRowHeight="14.25"/>
  <cols>
    <col min="1" max="1" width="11.25" customWidth="1"/>
    <col min="2" max="2" width="7.875" customWidth="1"/>
    <col min="3" max="3" width="19.375" customWidth="1"/>
    <col min="4" max="4" width="8.5" customWidth="1"/>
    <col min="5" max="5" width="10.25" customWidth="1"/>
    <col min="6" max="6" width="11.25" customWidth="1"/>
    <col min="7" max="7" width="11.875" customWidth="1"/>
    <col min="8" max="8" width="8.25" customWidth="1"/>
    <col min="9" max="9" width="7.375" customWidth="1"/>
    <col min="10" max="10" width="16.25" customWidth="1"/>
    <col min="11" max="11" width="5.25" customWidth="1"/>
    <col min="12" max="12" width="10.125" customWidth="1"/>
    <col min="13" max="13" width="6" customWidth="1"/>
  </cols>
  <sheetData>
    <row r="1" spans="1:26" ht="27.95" customHeight="1">
      <c r="A1" s="20" t="s">
        <v>457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458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5" t="s">
        <v>398</v>
      </c>
      <c r="B4" s="5" t="s">
        <v>325</v>
      </c>
      <c r="C4" s="5" t="s">
        <v>326</v>
      </c>
      <c r="D4" s="5" t="s">
        <v>77</v>
      </c>
      <c r="E4" s="5" t="s">
        <v>327</v>
      </c>
      <c r="F4" s="5" t="s">
        <v>459</v>
      </c>
      <c r="G4" s="5" t="s">
        <v>460</v>
      </c>
      <c r="H4" s="5" t="s">
        <v>461</v>
      </c>
      <c r="I4" s="5" t="s">
        <v>462</v>
      </c>
      <c r="J4" s="5" t="s">
        <v>463</v>
      </c>
      <c r="K4" s="5" t="s">
        <v>228</v>
      </c>
      <c r="L4" s="5" t="s">
        <v>464</v>
      </c>
      <c r="M4" s="5" t="s">
        <v>84</v>
      </c>
    </row>
    <row r="5" spans="1:26" ht="28.5">
      <c r="A5" s="3" t="s">
        <v>406</v>
      </c>
      <c r="B5" s="3" t="s">
        <v>343</v>
      </c>
      <c r="C5" s="3" t="s">
        <v>344</v>
      </c>
      <c r="D5" s="3" t="s">
        <v>86</v>
      </c>
      <c r="E5" s="3" t="s">
        <v>247</v>
      </c>
      <c r="F5" s="3" t="s">
        <v>465</v>
      </c>
      <c r="G5" s="3">
        <v>0.1</v>
      </c>
      <c r="H5" s="3">
        <v>46194</v>
      </c>
      <c r="I5" s="3">
        <v>46224</v>
      </c>
      <c r="J5" s="3" t="s">
        <v>466</v>
      </c>
      <c r="K5" s="3" t="s">
        <v>170</v>
      </c>
      <c r="L5" s="3">
        <v>0</v>
      </c>
      <c r="M5" s="3" t="s">
        <v>258</v>
      </c>
    </row>
    <row r="6" spans="1:26" ht="28.5">
      <c r="A6" s="3" t="s">
        <v>412</v>
      </c>
      <c r="B6" s="3" t="s">
        <v>368</v>
      </c>
      <c r="C6" s="3" t="s">
        <v>369</v>
      </c>
      <c r="D6" s="3" t="s">
        <v>141</v>
      </c>
      <c r="E6" s="3" t="s">
        <v>296</v>
      </c>
      <c r="F6" s="3" t="s">
        <v>465</v>
      </c>
      <c r="G6" s="3">
        <v>0.15</v>
      </c>
      <c r="H6" s="3">
        <v>46194</v>
      </c>
      <c r="I6" s="3">
        <v>46224</v>
      </c>
      <c r="J6" s="3" t="s">
        <v>467</v>
      </c>
      <c r="K6" s="3" t="s">
        <v>170</v>
      </c>
      <c r="L6" s="3">
        <v>0</v>
      </c>
      <c r="M6" s="3" t="s">
        <v>258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"/>
  <sheetViews>
    <sheetView workbookViewId="0">
      <selection sqref="A1:J1"/>
    </sheetView>
  </sheetViews>
  <sheetFormatPr defaultRowHeight="14.25"/>
  <cols>
    <col min="1" max="1" width="12.625" customWidth="1"/>
    <col min="2" max="2" width="15" customWidth="1"/>
    <col min="3" max="3" width="7.75" customWidth="1"/>
    <col min="4" max="4" width="8.25" customWidth="1"/>
    <col min="5" max="5" width="7.875" customWidth="1"/>
    <col min="6" max="6" width="19.25" customWidth="1"/>
    <col min="7" max="7" width="8.25" customWidth="1"/>
    <col min="8" max="8" width="7.375" customWidth="1"/>
    <col min="9" max="9" width="13.5" customWidth="1"/>
    <col min="10" max="10" width="12.75" customWidth="1"/>
    <col min="11" max="11" width="8.875" customWidth="1"/>
    <col min="12" max="12" width="6.75" customWidth="1"/>
    <col min="13" max="13" width="7" customWidth="1"/>
    <col min="14" max="14" width="12.75" customWidth="1"/>
    <col min="15" max="15" width="35.25" customWidth="1"/>
  </cols>
  <sheetData>
    <row r="1" spans="1:26" ht="27.95" customHeight="1">
      <c r="A1" s="20" t="s">
        <v>468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469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7" t="s">
        <v>470</v>
      </c>
      <c r="B4" s="7" t="s">
        <v>210</v>
      </c>
      <c r="C4" s="7" t="s">
        <v>77</v>
      </c>
      <c r="D4" s="7" t="s">
        <v>327</v>
      </c>
      <c r="E4" s="7" t="s">
        <v>325</v>
      </c>
      <c r="F4" s="7" t="s">
        <v>326</v>
      </c>
      <c r="G4" s="7" t="s">
        <v>461</v>
      </c>
      <c r="H4" s="7" t="s">
        <v>462</v>
      </c>
      <c r="I4" s="7" t="s">
        <v>471</v>
      </c>
      <c r="J4" s="7" t="s">
        <v>472</v>
      </c>
      <c r="K4" s="7" t="s">
        <v>473</v>
      </c>
      <c r="L4" s="7" t="s">
        <v>194</v>
      </c>
      <c r="M4" s="7" t="s">
        <v>228</v>
      </c>
      <c r="N4" s="7" t="s">
        <v>474</v>
      </c>
      <c r="O4" s="7" t="s">
        <v>84</v>
      </c>
    </row>
    <row r="5" spans="1:26" ht="28.5">
      <c r="A5" s="3" t="s">
        <v>475</v>
      </c>
      <c r="B5" s="3" t="s">
        <v>476</v>
      </c>
      <c r="C5" s="3" t="s">
        <v>114</v>
      </c>
      <c r="D5" s="3" t="s">
        <v>247</v>
      </c>
      <c r="E5" s="3" t="s">
        <v>358</v>
      </c>
      <c r="F5" s="3" t="s">
        <v>359</v>
      </c>
      <c r="G5" s="3">
        <v>46204</v>
      </c>
      <c r="H5" s="3">
        <v>46210</v>
      </c>
      <c r="I5" s="3" t="s">
        <v>477</v>
      </c>
      <c r="J5" s="3" t="s">
        <v>478</v>
      </c>
      <c r="K5" s="3">
        <v>2000</v>
      </c>
      <c r="L5" s="3" t="s">
        <v>479</v>
      </c>
      <c r="M5" s="3" t="s">
        <v>480</v>
      </c>
      <c r="N5" s="3" t="s">
        <v>481</v>
      </c>
      <c r="O5" s="3" t="s">
        <v>482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sqref="A1:J1"/>
    </sheetView>
  </sheetViews>
  <sheetFormatPr defaultRowHeight="14.25"/>
  <cols>
    <col min="1" max="1" width="26" customWidth="1"/>
    <col min="2" max="2" width="14.375" customWidth="1"/>
    <col min="3" max="3" width="7.625" customWidth="1"/>
    <col min="4" max="4" width="31.125" customWidth="1"/>
    <col min="5" max="5" width="21.5" customWidth="1"/>
    <col min="7" max="7" width="22.75" customWidth="1"/>
    <col min="8" max="8" width="16.25" customWidth="1"/>
    <col min="9" max="9" width="27.5" customWidth="1"/>
    <col min="10" max="10" width="20.375" customWidth="1"/>
  </cols>
  <sheetData>
    <row r="1" spans="1:10" ht="27.95" customHeight="1">
      <c r="A1" s="17" t="s">
        <v>483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484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8" t="s">
        <v>485</v>
      </c>
      <c r="B4" s="8" t="s">
        <v>486</v>
      </c>
      <c r="C4" s="8" t="s">
        <v>487</v>
      </c>
      <c r="D4" s="8" t="s">
        <v>488</v>
      </c>
      <c r="E4" s="8" t="s">
        <v>84</v>
      </c>
      <c r="G4" s="5" t="s">
        <v>489</v>
      </c>
      <c r="H4" s="5" t="s">
        <v>490</v>
      </c>
      <c r="I4" s="5" t="s">
        <v>491</v>
      </c>
      <c r="J4" s="5" t="s">
        <v>84</v>
      </c>
    </row>
    <row r="5" spans="1:10" ht="42.75">
      <c r="A5" s="3" t="s">
        <v>492</v>
      </c>
      <c r="B5" s="3">
        <v>5</v>
      </c>
      <c r="C5" s="3" t="s">
        <v>493</v>
      </c>
      <c r="D5" s="3" t="s">
        <v>488</v>
      </c>
      <c r="E5" s="3" t="s">
        <v>494</v>
      </c>
      <c r="G5" s="3" t="s">
        <v>495</v>
      </c>
      <c r="H5" s="3">
        <v>1</v>
      </c>
      <c r="I5" s="3" t="s">
        <v>496</v>
      </c>
      <c r="J5" s="3" t="s">
        <v>497</v>
      </c>
    </row>
    <row r="6" spans="1:10" ht="85.5">
      <c r="A6" s="3" t="s">
        <v>498</v>
      </c>
      <c r="B6" s="3">
        <v>2</v>
      </c>
      <c r="C6" s="3" t="s">
        <v>499</v>
      </c>
      <c r="D6" s="3" t="s">
        <v>500</v>
      </c>
      <c r="E6" s="3" t="s">
        <v>501</v>
      </c>
      <c r="G6" s="3" t="s">
        <v>502</v>
      </c>
      <c r="H6" s="3">
        <v>3</v>
      </c>
      <c r="I6" s="3" t="s">
        <v>503</v>
      </c>
      <c r="J6" s="3" t="s">
        <v>504</v>
      </c>
    </row>
    <row r="7" spans="1:10" ht="71.25">
      <c r="A7" s="3" t="s">
        <v>505</v>
      </c>
      <c r="B7" s="3">
        <v>3</v>
      </c>
      <c r="C7" s="3" t="s">
        <v>506</v>
      </c>
      <c r="D7" s="3" t="s">
        <v>500</v>
      </c>
      <c r="E7" s="3" t="s">
        <v>507</v>
      </c>
      <c r="G7" s="3" t="s">
        <v>508</v>
      </c>
      <c r="H7" s="3">
        <v>1</v>
      </c>
      <c r="I7" s="3" t="s">
        <v>509</v>
      </c>
      <c r="J7" s="3" t="s">
        <v>510</v>
      </c>
    </row>
    <row r="8" spans="1:10" ht="42.75">
      <c r="A8" s="3" t="s">
        <v>511</v>
      </c>
      <c r="B8" s="3">
        <v>2</v>
      </c>
      <c r="C8" s="3" t="s">
        <v>512</v>
      </c>
      <c r="D8" s="3" t="s">
        <v>513</v>
      </c>
      <c r="E8" s="3" t="s">
        <v>514</v>
      </c>
      <c r="G8" s="3" t="s">
        <v>515</v>
      </c>
      <c r="H8" s="3">
        <v>0</v>
      </c>
      <c r="I8" s="3" t="s">
        <v>503</v>
      </c>
      <c r="J8" s="3" t="s">
        <v>516</v>
      </c>
    </row>
    <row r="9" spans="1:10" ht="71.25">
      <c r="A9" s="3" t="s">
        <v>517</v>
      </c>
      <c r="B9" s="3">
        <v>0</v>
      </c>
      <c r="C9" s="3" t="s">
        <v>518</v>
      </c>
      <c r="D9" s="3" t="s">
        <v>500</v>
      </c>
      <c r="E9" s="3" t="s">
        <v>519</v>
      </c>
      <c r="G9" s="3" t="s">
        <v>520</v>
      </c>
      <c r="H9" s="3">
        <v>10</v>
      </c>
      <c r="I9" s="3" t="s">
        <v>468</v>
      </c>
      <c r="J9" s="3" t="s">
        <v>521</v>
      </c>
    </row>
    <row r="10" spans="1:10" ht="71.25">
      <c r="A10" s="3" t="s">
        <v>522</v>
      </c>
      <c r="B10" s="3">
        <v>-5</v>
      </c>
      <c r="C10" s="3" t="s">
        <v>523</v>
      </c>
      <c r="D10" s="3" t="s">
        <v>488</v>
      </c>
      <c r="E10" s="3" t="s">
        <v>524</v>
      </c>
      <c r="G10" s="3" t="s">
        <v>525</v>
      </c>
      <c r="H10" s="3">
        <v>5</v>
      </c>
      <c r="I10" s="3" t="s">
        <v>468</v>
      </c>
      <c r="J10" s="3" t="s">
        <v>521</v>
      </c>
    </row>
    <row r="11" spans="1:10" ht="57">
      <c r="A11" s="3" t="s">
        <v>165</v>
      </c>
      <c r="B11" s="3">
        <v>-15</v>
      </c>
      <c r="C11" s="3" t="s">
        <v>526</v>
      </c>
      <c r="D11" s="3" t="s">
        <v>527</v>
      </c>
      <c r="E11" s="3" t="s">
        <v>528</v>
      </c>
      <c r="G11" s="3" t="s">
        <v>529</v>
      </c>
      <c r="H11" s="3">
        <v>2</v>
      </c>
      <c r="I11" s="3" t="s">
        <v>530</v>
      </c>
      <c r="J11" s="3" t="s">
        <v>531</v>
      </c>
    </row>
    <row r="12" spans="1:10" ht="71.25">
      <c r="A12" s="3" t="s">
        <v>532</v>
      </c>
      <c r="B12" s="3">
        <v>-20</v>
      </c>
      <c r="C12" s="3" t="s">
        <v>533</v>
      </c>
      <c r="D12" s="3" t="s">
        <v>534</v>
      </c>
      <c r="E12" s="3" t="s">
        <v>70</v>
      </c>
    </row>
    <row r="13" spans="1:10" ht="57">
      <c r="A13" s="3" t="s">
        <v>535</v>
      </c>
      <c r="B13" s="3">
        <v>-10</v>
      </c>
      <c r="C13" s="3" t="s">
        <v>536</v>
      </c>
      <c r="D13" s="3" t="s">
        <v>534</v>
      </c>
      <c r="E13" s="3" t="s">
        <v>537</v>
      </c>
    </row>
    <row r="14" spans="1:10" ht="57">
      <c r="A14" s="3" t="s">
        <v>538</v>
      </c>
      <c r="B14" s="3" t="s">
        <v>539</v>
      </c>
      <c r="C14" s="3" t="s">
        <v>540</v>
      </c>
      <c r="D14" s="3" t="s">
        <v>541</v>
      </c>
      <c r="E14" s="3" t="s">
        <v>542</v>
      </c>
    </row>
    <row r="18" spans="1:9" ht="27.95" customHeight="1">
      <c r="A18" s="6" t="s">
        <v>543</v>
      </c>
      <c r="B18" s="6" t="s">
        <v>544</v>
      </c>
      <c r="C18" s="6" t="s">
        <v>545</v>
      </c>
      <c r="D18" s="6" t="s">
        <v>84</v>
      </c>
      <c r="G18" s="4" t="s">
        <v>546</v>
      </c>
      <c r="H18" s="4" t="s">
        <v>402</v>
      </c>
      <c r="I18" s="4" t="s">
        <v>547</v>
      </c>
    </row>
    <row r="19" spans="1:9" ht="28.5">
      <c r="A19" s="3" t="s">
        <v>548</v>
      </c>
      <c r="B19" s="3">
        <v>10</v>
      </c>
      <c r="C19" s="3" t="s">
        <v>91</v>
      </c>
      <c r="D19" s="3" t="s">
        <v>549</v>
      </c>
      <c r="G19" s="3" t="s">
        <v>550</v>
      </c>
      <c r="H19" s="3">
        <v>50</v>
      </c>
      <c r="I19" s="3" t="s">
        <v>551</v>
      </c>
    </row>
    <row r="20" spans="1:9">
      <c r="A20" s="3" t="s">
        <v>552</v>
      </c>
      <c r="B20" s="3" t="s">
        <v>91</v>
      </c>
      <c r="C20" s="3" t="s">
        <v>91</v>
      </c>
      <c r="D20" s="3" t="s">
        <v>553</v>
      </c>
      <c r="G20" s="3" t="s">
        <v>554</v>
      </c>
      <c r="H20" s="3">
        <v>70</v>
      </c>
      <c r="I20" s="3" t="s">
        <v>555</v>
      </c>
    </row>
    <row r="21" spans="1:9" ht="28.5">
      <c r="A21" s="3" t="s">
        <v>556</v>
      </c>
      <c r="B21" s="3">
        <v>1</v>
      </c>
      <c r="C21" s="3" t="s">
        <v>91</v>
      </c>
      <c r="D21" s="3" t="s">
        <v>557</v>
      </c>
      <c r="G21" s="3" t="s">
        <v>558</v>
      </c>
      <c r="H21" s="3">
        <v>80</v>
      </c>
      <c r="I21" s="3" t="s">
        <v>559</v>
      </c>
    </row>
    <row r="22" spans="1:9" ht="28.5">
      <c r="A22" s="3" t="s">
        <v>560</v>
      </c>
      <c r="B22" s="3" t="s">
        <v>34</v>
      </c>
      <c r="C22" s="3" t="s">
        <v>91</v>
      </c>
      <c r="D22" s="3" t="s">
        <v>561</v>
      </c>
      <c r="G22" s="3" t="s">
        <v>562</v>
      </c>
      <c r="H22" s="3">
        <v>60</v>
      </c>
      <c r="I22" s="3" t="s">
        <v>563</v>
      </c>
    </row>
    <row r="23" spans="1:9" ht="28.5">
      <c r="A23" s="3" t="s">
        <v>564</v>
      </c>
      <c r="B23" s="3" t="s">
        <v>565</v>
      </c>
      <c r="C23" s="3" t="s">
        <v>91</v>
      </c>
      <c r="D23" s="3" t="s">
        <v>566</v>
      </c>
      <c r="G23" s="3" t="s">
        <v>567</v>
      </c>
      <c r="H23" s="3">
        <v>90</v>
      </c>
      <c r="I23" s="3" t="s">
        <v>568</v>
      </c>
    </row>
    <row r="24" spans="1:9">
      <c r="A24" s="3" t="s">
        <v>569</v>
      </c>
      <c r="B24" s="3" t="s">
        <v>570</v>
      </c>
      <c r="C24" s="3" t="s">
        <v>91</v>
      </c>
      <c r="D24" s="3" t="s">
        <v>571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Views>
    <sheetView workbookViewId="0">
      <selection sqref="A1:J1"/>
    </sheetView>
  </sheetViews>
  <sheetFormatPr defaultRowHeight="14.25"/>
  <cols>
    <col min="1" max="1" width="5.75" customWidth="1"/>
    <col min="2" max="2" width="7.875" customWidth="1"/>
    <col min="3" max="3" width="11.625" customWidth="1"/>
    <col min="4" max="4" width="8" customWidth="1"/>
    <col min="5" max="5" width="10.75" customWidth="1"/>
    <col min="6" max="6" width="13.25" customWidth="1"/>
    <col min="7" max="7" width="26.5" customWidth="1"/>
    <col min="8" max="8" width="10" customWidth="1"/>
    <col min="9" max="9" width="14.25" customWidth="1"/>
    <col min="10" max="10" width="5.25" customWidth="1"/>
    <col min="11" max="11" width="12" customWidth="1"/>
  </cols>
  <sheetData>
    <row r="1" spans="1:26" ht="27.95" customHeight="1">
      <c r="A1" s="20" t="s">
        <v>572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573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8" t="s">
        <v>574</v>
      </c>
      <c r="B4" s="8" t="s">
        <v>209</v>
      </c>
      <c r="C4" s="8" t="s">
        <v>305</v>
      </c>
      <c r="D4" s="8" t="s">
        <v>388</v>
      </c>
      <c r="E4" s="8" t="s">
        <v>486</v>
      </c>
      <c r="F4" s="8" t="s">
        <v>485</v>
      </c>
      <c r="G4" s="8" t="s">
        <v>575</v>
      </c>
      <c r="H4" s="8" t="s">
        <v>488</v>
      </c>
      <c r="I4" s="8" t="s">
        <v>403</v>
      </c>
      <c r="J4" s="8" t="s">
        <v>576</v>
      </c>
      <c r="K4" s="8" t="s">
        <v>84</v>
      </c>
    </row>
    <row r="5" spans="1:26" ht="28.5">
      <c r="A5" s="3" t="s">
        <v>577</v>
      </c>
      <c r="B5" s="3" t="s">
        <v>242</v>
      </c>
      <c r="C5" s="3" t="s">
        <v>243</v>
      </c>
      <c r="D5" s="3" t="s">
        <v>405</v>
      </c>
      <c r="E5" s="3">
        <v>5</v>
      </c>
      <c r="F5" s="3" t="s">
        <v>492</v>
      </c>
      <c r="G5" s="3" t="s">
        <v>578</v>
      </c>
      <c r="H5" s="3" t="s">
        <v>534</v>
      </c>
      <c r="I5" s="3" t="s">
        <v>91</v>
      </c>
      <c r="J5" s="3">
        <v>46194</v>
      </c>
      <c r="K5" s="3" t="s">
        <v>258</v>
      </c>
    </row>
    <row r="6" spans="1:26" ht="28.5">
      <c r="A6" s="3" t="s">
        <v>579</v>
      </c>
      <c r="B6" s="3" t="s">
        <v>242</v>
      </c>
      <c r="C6" s="3" t="s">
        <v>243</v>
      </c>
      <c r="D6" s="3" t="s">
        <v>405</v>
      </c>
      <c r="E6" s="3">
        <v>2</v>
      </c>
      <c r="F6" s="3" t="s">
        <v>498</v>
      </c>
      <c r="G6" s="3" t="s">
        <v>580</v>
      </c>
      <c r="H6" s="3" t="s">
        <v>500</v>
      </c>
      <c r="I6" s="3" t="s">
        <v>91</v>
      </c>
      <c r="J6" s="3">
        <v>46195</v>
      </c>
      <c r="K6" s="3" t="s">
        <v>258</v>
      </c>
    </row>
    <row r="7" spans="1:26" ht="28.5">
      <c r="A7" s="3" t="s">
        <v>581</v>
      </c>
      <c r="B7" s="3" t="s">
        <v>259</v>
      </c>
      <c r="C7" s="3" t="s">
        <v>260</v>
      </c>
      <c r="D7" s="3" t="s">
        <v>405</v>
      </c>
      <c r="E7" s="3">
        <v>5</v>
      </c>
      <c r="F7" s="3" t="s">
        <v>492</v>
      </c>
      <c r="G7" s="3" t="s">
        <v>582</v>
      </c>
      <c r="H7" s="3" t="s">
        <v>534</v>
      </c>
      <c r="I7" s="3" t="s">
        <v>91</v>
      </c>
      <c r="J7" s="3">
        <v>46194</v>
      </c>
      <c r="K7" s="3" t="s">
        <v>258</v>
      </c>
    </row>
    <row r="8" spans="1:26" ht="28.5">
      <c r="A8" s="3" t="s">
        <v>583</v>
      </c>
      <c r="B8" s="3" t="s">
        <v>269</v>
      </c>
      <c r="C8" s="3" t="s">
        <v>270</v>
      </c>
      <c r="D8" s="3" t="s">
        <v>405</v>
      </c>
      <c r="E8" s="3">
        <v>-15</v>
      </c>
      <c r="F8" s="3" t="s">
        <v>165</v>
      </c>
      <c r="G8" s="3" t="s">
        <v>526</v>
      </c>
      <c r="H8" s="3" t="s">
        <v>534</v>
      </c>
      <c r="I8" s="3" t="s">
        <v>91</v>
      </c>
      <c r="J8" s="3">
        <v>46195</v>
      </c>
      <c r="K8" s="3" t="s">
        <v>584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>
      <selection sqref="A1:J1"/>
    </sheetView>
  </sheetViews>
  <sheetFormatPr defaultRowHeight="14.25"/>
  <cols>
    <col min="1" max="1" width="9.25" customWidth="1"/>
    <col min="2" max="2" width="7.875" customWidth="1"/>
    <col min="3" max="3" width="11.625" customWidth="1"/>
    <col min="4" max="4" width="8.5" customWidth="1"/>
    <col min="5" max="5" width="10.25" customWidth="1"/>
    <col min="6" max="6" width="7.25" customWidth="1"/>
    <col min="7" max="7" width="11.25" customWidth="1"/>
    <col min="8" max="8" width="4.375" customWidth="1"/>
    <col min="9" max="9" width="5.25" customWidth="1"/>
    <col min="10" max="10" width="5.375" customWidth="1"/>
    <col min="11" max="11" width="15.375" customWidth="1"/>
    <col min="12" max="12" width="8.75" customWidth="1"/>
    <col min="13" max="13" width="9.75" customWidth="1"/>
    <col min="14" max="14" width="15.125" customWidth="1"/>
    <col min="15" max="15" width="12" customWidth="1"/>
    <col min="16" max="16" width="15.875" customWidth="1"/>
    <col min="17" max="17" width="7.5" customWidth="1"/>
    <col min="18" max="18" width="4.375" customWidth="1"/>
    <col min="19" max="19" width="7.5" customWidth="1"/>
    <col min="20" max="20" width="6" customWidth="1"/>
  </cols>
  <sheetData>
    <row r="1" spans="1:20" ht="27.95" customHeight="1">
      <c r="A1" s="17" t="s">
        <v>585</v>
      </c>
      <c r="B1" s="18"/>
      <c r="C1" s="18"/>
      <c r="D1" s="18"/>
      <c r="E1" s="18"/>
      <c r="F1" s="18"/>
      <c r="G1" s="18"/>
      <c r="H1" s="18"/>
      <c r="I1" s="18"/>
      <c r="J1" s="18"/>
    </row>
    <row r="2" spans="1:20" ht="35.1" customHeight="1">
      <c r="A2" s="19" t="s">
        <v>586</v>
      </c>
      <c r="B2" s="18"/>
      <c r="C2" s="18"/>
      <c r="D2" s="18"/>
      <c r="E2" s="18"/>
      <c r="F2" s="18"/>
      <c r="G2" s="18"/>
      <c r="H2" s="18"/>
      <c r="I2" s="18"/>
      <c r="J2" s="18"/>
    </row>
    <row r="4" spans="1:20" ht="27.95" customHeight="1">
      <c r="A4" s="5" t="s">
        <v>587</v>
      </c>
      <c r="B4" s="5" t="s">
        <v>209</v>
      </c>
      <c r="C4" s="5" t="s">
        <v>305</v>
      </c>
      <c r="D4" s="5" t="s">
        <v>77</v>
      </c>
      <c r="E4" s="5" t="s">
        <v>327</v>
      </c>
      <c r="F4" s="5" t="s">
        <v>588</v>
      </c>
      <c r="G4" s="5" t="s">
        <v>589</v>
      </c>
      <c r="H4" s="5" t="s">
        <v>590</v>
      </c>
      <c r="I4" s="5" t="s">
        <v>591</v>
      </c>
      <c r="J4" s="5" t="s">
        <v>592</v>
      </c>
      <c r="K4" s="5" t="s">
        <v>593</v>
      </c>
      <c r="L4" s="5" t="s">
        <v>594</v>
      </c>
      <c r="M4" s="5" t="s">
        <v>595</v>
      </c>
      <c r="N4" s="5" t="s">
        <v>596</v>
      </c>
      <c r="O4" s="5" t="s">
        <v>597</v>
      </c>
      <c r="P4" s="5" t="s">
        <v>598</v>
      </c>
      <c r="Q4" s="5" t="s">
        <v>599</v>
      </c>
      <c r="R4" s="5" t="s">
        <v>600</v>
      </c>
      <c r="S4" s="5" t="s">
        <v>601</v>
      </c>
      <c r="T4" s="5" t="s">
        <v>84</v>
      </c>
    </row>
    <row r="5" spans="1:20" ht="28.5">
      <c r="A5" s="3" t="s">
        <v>602</v>
      </c>
      <c r="B5" s="3" t="s">
        <v>242</v>
      </c>
      <c r="C5" s="3" t="s">
        <v>243</v>
      </c>
      <c r="D5" s="3" t="s">
        <v>86</v>
      </c>
      <c r="E5" s="3" t="s">
        <v>247</v>
      </c>
      <c r="F5" s="3" t="s">
        <v>603</v>
      </c>
      <c r="G5" s="3">
        <v>3</v>
      </c>
      <c r="H5" s="3">
        <v>2</v>
      </c>
      <c r="I5" s="3">
        <v>0</v>
      </c>
      <c r="J5" s="3">
        <v>1</v>
      </c>
      <c r="K5" s="3">
        <f t="shared" ref="K5:K36" si="0">IF(A5="","",G5*1)</f>
        <v>3</v>
      </c>
      <c r="L5" s="3">
        <f t="shared" ref="L5:L36" si="1">IF(A5="","",H5*3)</f>
        <v>6</v>
      </c>
      <c r="M5" s="3">
        <f t="shared" ref="M5:M36" si="2">IF(A5="","",I5*1)</f>
        <v>0</v>
      </c>
      <c r="N5" s="3">
        <v>0</v>
      </c>
      <c r="O5" s="3">
        <v>2</v>
      </c>
      <c r="P5" s="3">
        <f t="shared" ref="P5:P36" si="3">IF(A5="","",K5+L5+M5+N5+O5)</f>
        <v>11</v>
      </c>
      <c r="Q5" s="3">
        <f t="shared" ref="Q5:Q36" si="4">IF(A5="","",IF(G5=0,0,H5/G5))</f>
        <v>0.66666666666666663</v>
      </c>
      <c r="R5" s="3">
        <f t="shared" ref="R5:R36" si="5">IF(A5="","",1+COUNTIF($P$5:$P$200,"&gt;"&amp;P5))</f>
        <v>2</v>
      </c>
      <c r="S5" s="3" t="str">
        <f>IF(A5="","",IF(VLOOKUP(B5,Players!$A:$AF,30,FALSE)&gt;=60,"Visible","Hidden/Review"))</f>
        <v>Visible</v>
      </c>
      <c r="T5" s="3" t="s">
        <v>258</v>
      </c>
    </row>
    <row r="6" spans="1:20" ht="28.5">
      <c r="A6" s="3" t="s">
        <v>604</v>
      </c>
      <c r="B6" s="3" t="s">
        <v>259</v>
      </c>
      <c r="C6" s="3" t="s">
        <v>260</v>
      </c>
      <c r="D6" s="3" t="s">
        <v>114</v>
      </c>
      <c r="E6" s="3" t="s">
        <v>247</v>
      </c>
      <c r="F6" s="3" t="s">
        <v>603</v>
      </c>
      <c r="G6" s="3">
        <v>4</v>
      </c>
      <c r="H6" s="3">
        <v>3</v>
      </c>
      <c r="I6" s="3">
        <v>0</v>
      </c>
      <c r="J6" s="3">
        <v>1</v>
      </c>
      <c r="K6" s="3">
        <f t="shared" si="0"/>
        <v>4</v>
      </c>
      <c r="L6" s="3">
        <f t="shared" si="1"/>
        <v>9</v>
      </c>
      <c r="M6" s="3">
        <f t="shared" si="2"/>
        <v>0</v>
      </c>
      <c r="N6" s="3">
        <v>0</v>
      </c>
      <c r="O6" s="3">
        <v>2</v>
      </c>
      <c r="P6" s="3">
        <f t="shared" si="3"/>
        <v>15</v>
      </c>
      <c r="Q6" s="3">
        <f t="shared" si="4"/>
        <v>0.75</v>
      </c>
      <c r="R6" s="3">
        <f t="shared" si="5"/>
        <v>1</v>
      </c>
      <c r="S6" s="3" t="str">
        <f>IF(A6="","",IF(VLOOKUP(B6,Players!$A:$AF,30,FALSE)&gt;=60,"Visible","Hidden/Review"))</f>
        <v>Visible</v>
      </c>
      <c r="T6" s="3" t="s">
        <v>258</v>
      </c>
    </row>
    <row r="7" spans="1:20" ht="28.5">
      <c r="A7" s="3" t="s">
        <v>605</v>
      </c>
      <c r="B7" s="3" t="s">
        <v>281</v>
      </c>
      <c r="C7" s="3" t="s">
        <v>282</v>
      </c>
      <c r="D7" s="3" t="s">
        <v>102</v>
      </c>
      <c r="E7" s="3" t="s">
        <v>247</v>
      </c>
      <c r="F7" s="3" t="s">
        <v>603</v>
      </c>
      <c r="G7" s="3">
        <v>2</v>
      </c>
      <c r="H7" s="3">
        <v>1</v>
      </c>
      <c r="I7" s="3">
        <v>1</v>
      </c>
      <c r="J7" s="3">
        <v>0</v>
      </c>
      <c r="K7" s="3">
        <f t="shared" si="0"/>
        <v>2</v>
      </c>
      <c r="L7" s="3">
        <f t="shared" si="1"/>
        <v>3</v>
      </c>
      <c r="M7" s="3">
        <f t="shared" si="2"/>
        <v>1</v>
      </c>
      <c r="N7" s="3">
        <v>0</v>
      </c>
      <c r="O7" s="3">
        <v>2</v>
      </c>
      <c r="P7" s="3">
        <f t="shared" si="3"/>
        <v>8</v>
      </c>
      <c r="Q7" s="3">
        <f t="shared" si="4"/>
        <v>0.5</v>
      </c>
      <c r="R7" s="3">
        <f t="shared" si="5"/>
        <v>3</v>
      </c>
      <c r="S7" s="3" t="str">
        <f>IF(A7="","",IF(VLOOKUP(B7,Players!$A:$AF,30,FALSE)&gt;=60,"Visible","Hidden/Review"))</f>
        <v>Visible</v>
      </c>
      <c r="T7" s="3" t="s">
        <v>258</v>
      </c>
    </row>
    <row r="8" spans="1:20" ht="28.5">
      <c r="A8" s="3" t="s">
        <v>606</v>
      </c>
      <c r="B8" s="3" t="s">
        <v>292</v>
      </c>
      <c r="C8" s="3" t="s">
        <v>293</v>
      </c>
      <c r="D8" s="3" t="s">
        <v>141</v>
      </c>
      <c r="E8" s="3" t="s">
        <v>296</v>
      </c>
      <c r="F8" s="3" t="s">
        <v>603</v>
      </c>
      <c r="G8" s="3">
        <v>1</v>
      </c>
      <c r="H8" s="3">
        <v>0</v>
      </c>
      <c r="I8" s="3">
        <v>0</v>
      </c>
      <c r="J8" s="3">
        <v>1</v>
      </c>
      <c r="K8" s="3">
        <f t="shared" si="0"/>
        <v>1</v>
      </c>
      <c r="L8" s="3">
        <f t="shared" si="1"/>
        <v>0</v>
      </c>
      <c r="M8" s="3">
        <f t="shared" si="2"/>
        <v>0</v>
      </c>
      <c r="N8" s="3">
        <v>0</v>
      </c>
      <c r="O8" s="3">
        <v>2</v>
      </c>
      <c r="P8" s="3">
        <f t="shared" si="3"/>
        <v>3</v>
      </c>
      <c r="Q8" s="3">
        <f t="shared" si="4"/>
        <v>0</v>
      </c>
      <c r="R8" s="3">
        <f t="shared" si="5"/>
        <v>4</v>
      </c>
      <c r="S8" s="3" t="str">
        <f>IF(A8="","",IF(VLOOKUP(B8,Players!$A:$AF,30,FALSE)&gt;=60,"Visible","Hidden/Review"))</f>
        <v>Visible</v>
      </c>
      <c r="T8" s="3" t="s">
        <v>258</v>
      </c>
    </row>
    <row r="9" spans="1:20">
      <c r="K9" t="str">
        <f t="shared" si="0"/>
        <v/>
      </c>
      <c r="L9" t="str">
        <f t="shared" si="1"/>
        <v/>
      </c>
      <c r="M9" t="str">
        <f t="shared" si="2"/>
        <v/>
      </c>
      <c r="N9">
        <v>0</v>
      </c>
      <c r="O9">
        <v>2</v>
      </c>
      <c r="P9" t="str">
        <f t="shared" si="3"/>
        <v/>
      </c>
      <c r="Q9" t="str">
        <f t="shared" si="4"/>
        <v/>
      </c>
      <c r="R9" t="str">
        <f t="shared" si="5"/>
        <v/>
      </c>
      <c r="S9" t="str">
        <f>IF(A9="","",IF(VLOOKUP(B9,Players!$A:$AF,30,FALSE)&gt;=60,"Visible","Hidden/Review"))</f>
        <v/>
      </c>
    </row>
    <row r="10" spans="1:20">
      <c r="K10" t="str">
        <f t="shared" si="0"/>
        <v/>
      </c>
      <c r="L10" t="str">
        <f t="shared" si="1"/>
        <v/>
      </c>
      <c r="M10" t="str">
        <f t="shared" si="2"/>
        <v/>
      </c>
      <c r="N10">
        <v>0</v>
      </c>
      <c r="O10">
        <v>2</v>
      </c>
      <c r="P10" t="str">
        <f t="shared" si="3"/>
        <v/>
      </c>
      <c r="Q10" t="str">
        <f t="shared" si="4"/>
        <v/>
      </c>
      <c r="R10" t="str">
        <f t="shared" si="5"/>
        <v/>
      </c>
      <c r="S10" t="str">
        <f>IF(A10="","",IF(VLOOKUP(B10,Players!$A:$AF,30,FALSE)&gt;=60,"Visible","Hidden/Review"))</f>
        <v/>
      </c>
    </row>
    <row r="11" spans="1:20">
      <c r="K11" t="str">
        <f t="shared" si="0"/>
        <v/>
      </c>
      <c r="L11" t="str">
        <f t="shared" si="1"/>
        <v/>
      </c>
      <c r="M11" t="str">
        <f t="shared" si="2"/>
        <v/>
      </c>
      <c r="N11">
        <v>0</v>
      </c>
      <c r="O11">
        <v>2</v>
      </c>
      <c r="P11" t="str">
        <f t="shared" si="3"/>
        <v/>
      </c>
      <c r="Q11" t="str">
        <f t="shared" si="4"/>
        <v/>
      </c>
      <c r="R11" t="str">
        <f t="shared" si="5"/>
        <v/>
      </c>
      <c r="S11" t="str">
        <f>IF(A11="","",IF(VLOOKUP(B11,Players!$A:$AF,30,FALSE)&gt;=60,"Visible","Hidden/Review"))</f>
        <v/>
      </c>
    </row>
    <row r="12" spans="1:20">
      <c r="K12" t="str">
        <f t="shared" si="0"/>
        <v/>
      </c>
      <c r="L12" t="str">
        <f t="shared" si="1"/>
        <v/>
      </c>
      <c r="M12" t="str">
        <f t="shared" si="2"/>
        <v/>
      </c>
      <c r="N12">
        <v>0</v>
      </c>
      <c r="O12">
        <v>2</v>
      </c>
      <c r="P12" t="str">
        <f t="shared" si="3"/>
        <v/>
      </c>
      <c r="Q12" t="str">
        <f t="shared" si="4"/>
        <v/>
      </c>
      <c r="R12" t="str">
        <f t="shared" si="5"/>
        <v/>
      </c>
      <c r="S12" t="str">
        <f>IF(A12="","",IF(VLOOKUP(B12,Players!$A:$AF,30,FALSE)&gt;=60,"Visible","Hidden/Review"))</f>
        <v/>
      </c>
    </row>
    <row r="13" spans="1:20">
      <c r="K13" t="str">
        <f t="shared" si="0"/>
        <v/>
      </c>
      <c r="L13" t="str">
        <f t="shared" si="1"/>
        <v/>
      </c>
      <c r="M13" t="str">
        <f t="shared" si="2"/>
        <v/>
      </c>
      <c r="N13">
        <v>0</v>
      </c>
      <c r="O13">
        <v>2</v>
      </c>
      <c r="P13" t="str">
        <f t="shared" si="3"/>
        <v/>
      </c>
      <c r="Q13" t="str">
        <f t="shared" si="4"/>
        <v/>
      </c>
      <c r="R13" t="str">
        <f t="shared" si="5"/>
        <v/>
      </c>
      <c r="S13" t="str">
        <f>IF(A13="","",IF(VLOOKUP(B13,Players!$A:$AF,30,FALSE)&gt;=60,"Visible","Hidden/Review"))</f>
        <v/>
      </c>
    </row>
    <row r="14" spans="1:20">
      <c r="K14" t="str">
        <f t="shared" si="0"/>
        <v/>
      </c>
      <c r="L14" t="str">
        <f t="shared" si="1"/>
        <v/>
      </c>
      <c r="M14" t="str">
        <f t="shared" si="2"/>
        <v/>
      </c>
      <c r="N14">
        <v>0</v>
      </c>
      <c r="O14">
        <v>2</v>
      </c>
      <c r="P14" t="str">
        <f t="shared" si="3"/>
        <v/>
      </c>
      <c r="Q14" t="str">
        <f t="shared" si="4"/>
        <v/>
      </c>
      <c r="R14" t="str">
        <f t="shared" si="5"/>
        <v/>
      </c>
      <c r="S14" t="str">
        <f>IF(A14="","",IF(VLOOKUP(B14,Players!$A:$AF,30,FALSE)&gt;=60,"Visible","Hidden/Review"))</f>
        <v/>
      </c>
    </row>
    <row r="15" spans="1:20">
      <c r="K15" t="str">
        <f t="shared" si="0"/>
        <v/>
      </c>
      <c r="L15" t="str">
        <f t="shared" si="1"/>
        <v/>
      </c>
      <c r="M15" t="str">
        <f t="shared" si="2"/>
        <v/>
      </c>
      <c r="N15">
        <v>0</v>
      </c>
      <c r="O15">
        <v>2</v>
      </c>
      <c r="P15" t="str">
        <f t="shared" si="3"/>
        <v/>
      </c>
      <c r="Q15" t="str">
        <f t="shared" si="4"/>
        <v/>
      </c>
      <c r="R15" t="str">
        <f t="shared" si="5"/>
        <v/>
      </c>
      <c r="S15" t="str">
        <f>IF(A15="","",IF(VLOOKUP(B15,Players!$A:$AF,30,FALSE)&gt;=60,"Visible","Hidden/Review"))</f>
        <v/>
      </c>
    </row>
    <row r="16" spans="1:20">
      <c r="K16" t="str">
        <f t="shared" si="0"/>
        <v/>
      </c>
      <c r="L16" t="str">
        <f t="shared" si="1"/>
        <v/>
      </c>
      <c r="M16" t="str">
        <f t="shared" si="2"/>
        <v/>
      </c>
      <c r="N16">
        <v>0</v>
      </c>
      <c r="O16">
        <v>2</v>
      </c>
      <c r="P16" t="str">
        <f t="shared" si="3"/>
        <v/>
      </c>
      <c r="Q16" t="str">
        <f t="shared" si="4"/>
        <v/>
      </c>
      <c r="R16" t="str">
        <f t="shared" si="5"/>
        <v/>
      </c>
      <c r="S16" t="str">
        <f>IF(A16="","",IF(VLOOKUP(B16,Players!$A:$AF,30,FALSE)&gt;=60,"Visible","Hidden/Review"))</f>
        <v/>
      </c>
    </row>
    <row r="17" spans="11:19">
      <c r="K17" t="str">
        <f t="shared" si="0"/>
        <v/>
      </c>
      <c r="L17" t="str">
        <f t="shared" si="1"/>
        <v/>
      </c>
      <c r="M17" t="str">
        <f t="shared" si="2"/>
        <v/>
      </c>
      <c r="N17">
        <v>0</v>
      </c>
      <c r="O17">
        <v>2</v>
      </c>
      <c r="P17" t="str">
        <f t="shared" si="3"/>
        <v/>
      </c>
      <c r="Q17" t="str">
        <f t="shared" si="4"/>
        <v/>
      </c>
      <c r="R17" t="str">
        <f t="shared" si="5"/>
        <v/>
      </c>
      <c r="S17" t="str">
        <f>IF(A17="","",IF(VLOOKUP(B17,Players!$A:$AF,30,FALSE)&gt;=60,"Visible","Hidden/Review"))</f>
        <v/>
      </c>
    </row>
    <row r="18" spans="11:19">
      <c r="K18" t="str">
        <f t="shared" si="0"/>
        <v/>
      </c>
      <c r="L18" t="str">
        <f t="shared" si="1"/>
        <v/>
      </c>
      <c r="M18" t="str">
        <f t="shared" si="2"/>
        <v/>
      </c>
      <c r="N18">
        <v>0</v>
      </c>
      <c r="O18">
        <v>2</v>
      </c>
      <c r="P18" t="str">
        <f t="shared" si="3"/>
        <v/>
      </c>
      <c r="Q18" t="str">
        <f t="shared" si="4"/>
        <v/>
      </c>
      <c r="R18" t="str">
        <f t="shared" si="5"/>
        <v/>
      </c>
      <c r="S18" t="str">
        <f>IF(A18="","",IF(VLOOKUP(B18,Players!$A:$AF,30,FALSE)&gt;=60,"Visible","Hidden/Review"))</f>
        <v/>
      </c>
    </row>
    <row r="19" spans="11:19">
      <c r="K19" t="str">
        <f t="shared" si="0"/>
        <v/>
      </c>
      <c r="L19" t="str">
        <f t="shared" si="1"/>
        <v/>
      </c>
      <c r="M19" t="str">
        <f t="shared" si="2"/>
        <v/>
      </c>
      <c r="N19">
        <v>0</v>
      </c>
      <c r="O19">
        <v>2</v>
      </c>
      <c r="P19" t="str">
        <f t="shared" si="3"/>
        <v/>
      </c>
      <c r="Q19" t="str">
        <f t="shared" si="4"/>
        <v/>
      </c>
      <c r="R19" t="str">
        <f t="shared" si="5"/>
        <v/>
      </c>
      <c r="S19" t="str">
        <f>IF(A19="","",IF(VLOOKUP(B19,Players!$A:$AF,30,FALSE)&gt;=60,"Visible","Hidden/Review"))</f>
        <v/>
      </c>
    </row>
    <row r="20" spans="11:19">
      <c r="K20" t="str">
        <f t="shared" si="0"/>
        <v/>
      </c>
      <c r="L20" t="str">
        <f t="shared" si="1"/>
        <v/>
      </c>
      <c r="M20" t="str">
        <f t="shared" si="2"/>
        <v/>
      </c>
      <c r="N20">
        <v>0</v>
      </c>
      <c r="O20">
        <v>2</v>
      </c>
      <c r="P20" t="str">
        <f t="shared" si="3"/>
        <v/>
      </c>
      <c r="Q20" t="str">
        <f t="shared" si="4"/>
        <v/>
      </c>
      <c r="R20" t="str">
        <f t="shared" si="5"/>
        <v/>
      </c>
      <c r="S20" t="str">
        <f>IF(A20="","",IF(VLOOKUP(B20,Players!$A:$AF,30,FALSE)&gt;=60,"Visible","Hidden/Review"))</f>
        <v/>
      </c>
    </row>
    <row r="21" spans="11:19">
      <c r="K21" t="str">
        <f t="shared" si="0"/>
        <v/>
      </c>
      <c r="L21" t="str">
        <f t="shared" si="1"/>
        <v/>
      </c>
      <c r="M21" t="str">
        <f t="shared" si="2"/>
        <v/>
      </c>
      <c r="N21">
        <v>0</v>
      </c>
      <c r="O21">
        <v>2</v>
      </c>
      <c r="P21" t="str">
        <f t="shared" si="3"/>
        <v/>
      </c>
      <c r="Q21" t="str">
        <f t="shared" si="4"/>
        <v/>
      </c>
      <c r="R21" t="str">
        <f t="shared" si="5"/>
        <v/>
      </c>
      <c r="S21" t="str">
        <f>IF(A21="","",IF(VLOOKUP(B21,Players!$A:$AF,30,FALSE)&gt;=60,"Visible","Hidden/Review"))</f>
        <v/>
      </c>
    </row>
    <row r="22" spans="11:19">
      <c r="K22" t="str">
        <f t="shared" si="0"/>
        <v/>
      </c>
      <c r="L22" t="str">
        <f t="shared" si="1"/>
        <v/>
      </c>
      <c r="M22" t="str">
        <f t="shared" si="2"/>
        <v/>
      </c>
      <c r="N22">
        <v>0</v>
      </c>
      <c r="O22">
        <v>2</v>
      </c>
      <c r="P22" t="str">
        <f t="shared" si="3"/>
        <v/>
      </c>
      <c r="Q22" t="str">
        <f t="shared" si="4"/>
        <v/>
      </c>
      <c r="R22" t="str">
        <f t="shared" si="5"/>
        <v/>
      </c>
      <c r="S22" t="str">
        <f>IF(A22="","",IF(VLOOKUP(B22,Players!$A:$AF,30,FALSE)&gt;=60,"Visible","Hidden/Review"))</f>
        <v/>
      </c>
    </row>
    <row r="23" spans="11:19">
      <c r="K23" t="str">
        <f t="shared" si="0"/>
        <v/>
      </c>
      <c r="L23" t="str">
        <f t="shared" si="1"/>
        <v/>
      </c>
      <c r="M23" t="str">
        <f t="shared" si="2"/>
        <v/>
      </c>
      <c r="N23">
        <v>0</v>
      </c>
      <c r="O23">
        <v>2</v>
      </c>
      <c r="P23" t="str">
        <f t="shared" si="3"/>
        <v/>
      </c>
      <c r="Q23" t="str">
        <f t="shared" si="4"/>
        <v/>
      </c>
      <c r="R23" t="str">
        <f t="shared" si="5"/>
        <v/>
      </c>
      <c r="S23" t="str">
        <f>IF(A23="","",IF(VLOOKUP(B23,Players!$A:$AF,30,FALSE)&gt;=60,"Visible","Hidden/Review"))</f>
        <v/>
      </c>
    </row>
    <row r="24" spans="11:19">
      <c r="K24" t="str">
        <f t="shared" si="0"/>
        <v/>
      </c>
      <c r="L24" t="str">
        <f t="shared" si="1"/>
        <v/>
      </c>
      <c r="M24" t="str">
        <f t="shared" si="2"/>
        <v/>
      </c>
      <c r="N24">
        <v>0</v>
      </c>
      <c r="O24">
        <v>2</v>
      </c>
      <c r="P24" t="str">
        <f t="shared" si="3"/>
        <v/>
      </c>
      <c r="Q24" t="str">
        <f t="shared" si="4"/>
        <v/>
      </c>
      <c r="R24" t="str">
        <f t="shared" si="5"/>
        <v/>
      </c>
      <c r="S24" t="str">
        <f>IF(A24="","",IF(VLOOKUP(B24,Players!$A:$AF,30,FALSE)&gt;=60,"Visible","Hidden/Review"))</f>
        <v/>
      </c>
    </row>
    <row r="25" spans="11:19">
      <c r="K25" t="str">
        <f t="shared" si="0"/>
        <v/>
      </c>
      <c r="L25" t="str">
        <f t="shared" si="1"/>
        <v/>
      </c>
      <c r="M25" t="str">
        <f t="shared" si="2"/>
        <v/>
      </c>
      <c r="N25">
        <v>0</v>
      </c>
      <c r="O25">
        <v>2</v>
      </c>
      <c r="P25" t="str">
        <f t="shared" si="3"/>
        <v/>
      </c>
      <c r="Q25" t="str">
        <f t="shared" si="4"/>
        <v/>
      </c>
      <c r="R25" t="str">
        <f t="shared" si="5"/>
        <v/>
      </c>
      <c r="S25" t="str">
        <f>IF(A25="","",IF(VLOOKUP(B25,Players!$A:$AF,30,FALSE)&gt;=60,"Visible","Hidden/Review"))</f>
        <v/>
      </c>
    </row>
    <row r="26" spans="11:19">
      <c r="K26" t="str">
        <f t="shared" si="0"/>
        <v/>
      </c>
      <c r="L26" t="str">
        <f t="shared" si="1"/>
        <v/>
      </c>
      <c r="M26" t="str">
        <f t="shared" si="2"/>
        <v/>
      </c>
      <c r="N26">
        <v>0</v>
      </c>
      <c r="O26">
        <v>2</v>
      </c>
      <c r="P26" t="str">
        <f t="shared" si="3"/>
        <v/>
      </c>
      <c r="Q26" t="str">
        <f t="shared" si="4"/>
        <v/>
      </c>
      <c r="R26" t="str">
        <f t="shared" si="5"/>
        <v/>
      </c>
      <c r="S26" t="str">
        <f>IF(A26="","",IF(VLOOKUP(B26,Players!$A:$AF,30,FALSE)&gt;=60,"Visible","Hidden/Review"))</f>
        <v/>
      </c>
    </row>
    <row r="27" spans="11:19">
      <c r="K27" t="str">
        <f t="shared" si="0"/>
        <v/>
      </c>
      <c r="L27" t="str">
        <f t="shared" si="1"/>
        <v/>
      </c>
      <c r="M27" t="str">
        <f t="shared" si="2"/>
        <v/>
      </c>
      <c r="N27">
        <v>0</v>
      </c>
      <c r="O27">
        <v>2</v>
      </c>
      <c r="P27" t="str">
        <f t="shared" si="3"/>
        <v/>
      </c>
      <c r="Q27" t="str">
        <f t="shared" si="4"/>
        <v/>
      </c>
      <c r="R27" t="str">
        <f t="shared" si="5"/>
        <v/>
      </c>
      <c r="S27" t="str">
        <f>IF(A27="","",IF(VLOOKUP(B27,Players!$A:$AF,30,FALSE)&gt;=60,"Visible","Hidden/Review"))</f>
        <v/>
      </c>
    </row>
    <row r="28" spans="11:19">
      <c r="K28" t="str">
        <f t="shared" si="0"/>
        <v/>
      </c>
      <c r="L28" t="str">
        <f t="shared" si="1"/>
        <v/>
      </c>
      <c r="M28" t="str">
        <f t="shared" si="2"/>
        <v/>
      </c>
      <c r="N28">
        <v>0</v>
      </c>
      <c r="O28">
        <v>2</v>
      </c>
      <c r="P28" t="str">
        <f t="shared" si="3"/>
        <v/>
      </c>
      <c r="Q28" t="str">
        <f t="shared" si="4"/>
        <v/>
      </c>
      <c r="R28" t="str">
        <f t="shared" si="5"/>
        <v/>
      </c>
      <c r="S28" t="str">
        <f>IF(A28="","",IF(VLOOKUP(B28,Players!$A:$AF,30,FALSE)&gt;=60,"Visible","Hidden/Review"))</f>
        <v/>
      </c>
    </row>
    <row r="29" spans="11:19">
      <c r="K29" t="str">
        <f t="shared" si="0"/>
        <v/>
      </c>
      <c r="L29" t="str">
        <f t="shared" si="1"/>
        <v/>
      </c>
      <c r="M29" t="str">
        <f t="shared" si="2"/>
        <v/>
      </c>
      <c r="N29">
        <v>0</v>
      </c>
      <c r="O29">
        <v>2</v>
      </c>
      <c r="P29" t="str">
        <f t="shared" si="3"/>
        <v/>
      </c>
      <c r="Q29" t="str">
        <f t="shared" si="4"/>
        <v/>
      </c>
      <c r="R29" t="str">
        <f t="shared" si="5"/>
        <v/>
      </c>
      <c r="S29" t="str">
        <f>IF(A29="","",IF(VLOOKUP(B29,Players!$A:$AF,30,FALSE)&gt;=60,"Visible","Hidden/Review"))</f>
        <v/>
      </c>
    </row>
    <row r="30" spans="11:19">
      <c r="K30" t="str">
        <f t="shared" si="0"/>
        <v/>
      </c>
      <c r="L30" t="str">
        <f t="shared" si="1"/>
        <v/>
      </c>
      <c r="M30" t="str">
        <f t="shared" si="2"/>
        <v/>
      </c>
      <c r="N30">
        <v>0</v>
      </c>
      <c r="O30">
        <v>2</v>
      </c>
      <c r="P30" t="str">
        <f t="shared" si="3"/>
        <v/>
      </c>
      <c r="Q30" t="str">
        <f t="shared" si="4"/>
        <v/>
      </c>
      <c r="R30" t="str">
        <f t="shared" si="5"/>
        <v/>
      </c>
      <c r="S30" t="str">
        <f>IF(A30="","",IF(VLOOKUP(B30,Players!$A:$AF,30,FALSE)&gt;=60,"Visible","Hidden/Review"))</f>
        <v/>
      </c>
    </row>
    <row r="31" spans="11:19">
      <c r="K31" t="str">
        <f t="shared" si="0"/>
        <v/>
      </c>
      <c r="L31" t="str">
        <f t="shared" si="1"/>
        <v/>
      </c>
      <c r="M31" t="str">
        <f t="shared" si="2"/>
        <v/>
      </c>
      <c r="N31">
        <v>0</v>
      </c>
      <c r="O31">
        <v>2</v>
      </c>
      <c r="P31" t="str">
        <f t="shared" si="3"/>
        <v/>
      </c>
      <c r="Q31" t="str">
        <f t="shared" si="4"/>
        <v/>
      </c>
      <c r="R31" t="str">
        <f t="shared" si="5"/>
        <v/>
      </c>
      <c r="S31" t="str">
        <f>IF(A31="","",IF(VLOOKUP(B31,Players!$A:$AF,30,FALSE)&gt;=60,"Visible","Hidden/Review"))</f>
        <v/>
      </c>
    </row>
    <row r="32" spans="11:19">
      <c r="K32" t="str">
        <f t="shared" si="0"/>
        <v/>
      </c>
      <c r="L32" t="str">
        <f t="shared" si="1"/>
        <v/>
      </c>
      <c r="M32" t="str">
        <f t="shared" si="2"/>
        <v/>
      </c>
      <c r="N32">
        <v>0</v>
      </c>
      <c r="O32">
        <v>2</v>
      </c>
      <c r="P32" t="str">
        <f t="shared" si="3"/>
        <v/>
      </c>
      <c r="Q32" t="str">
        <f t="shared" si="4"/>
        <v/>
      </c>
      <c r="R32" t="str">
        <f t="shared" si="5"/>
        <v/>
      </c>
      <c r="S32" t="str">
        <f>IF(A32="","",IF(VLOOKUP(B32,Players!$A:$AF,30,FALSE)&gt;=60,"Visible","Hidden/Review"))</f>
        <v/>
      </c>
    </row>
    <row r="33" spans="11:19">
      <c r="K33" t="str">
        <f t="shared" si="0"/>
        <v/>
      </c>
      <c r="L33" t="str">
        <f t="shared" si="1"/>
        <v/>
      </c>
      <c r="M33" t="str">
        <f t="shared" si="2"/>
        <v/>
      </c>
      <c r="N33">
        <v>0</v>
      </c>
      <c r="O33">
        <v>2</v>
      </c>
      <c r="P33" t="str">
        <f t="shared" si="3"/>
        <v/>
      </c>
      <c r="Q33" t="str">
        <f t="shared" si="4"/>
        <v/>
      </c>
      <c r="R33" t="str">
        <f t="shared" si="5"/>
        <v/>
      </c>
      <c r="S33" t="str">
        <f>IF(A33="","",IF(VLOOKUP(B33,Players!$A:$AF,30,FALSE)&gt;=60,"Visible","Hidden/Review"))</f>
        <v/>
      </c>
    </row>
    <row r="34" spans="11:19">
      <c r="K34" t="str">
        <f t="shared" si="0"/>
        <v/>
      </c>
      <c r="L34" t="str">
        <f t="shared" si="1"/>
        <v/>
      </c>
      <c r="M34" t="str">
        <f t="shared" si="2"/>
        <v/>
      </c>
      <c r="N34">
        <v>0</v>
      </c>
      <c r="O34">
        <v>2</v>
      </c>
      <c r="P34" t="str">
        <f t="shared" si="3"/>
        <v/>
      </c>
      <c r="Q34" t="str">
        <f t="shared" si="4"/>
        <v/>
      </c>
      <c r="R34" t="str">
        <f t="shared" si="5"/>
        <v/>
      </c>
      <c r="S34" t="str">
        <f>IF(A34="","",IF(VLOOKUP(B34,Players!$A:$AF,30,FALSE)&gt;=60,"Visible","Hidden/Review"))</f>
        <v/>
      </c>
    </row>
    <row r="35" spans="11:19">
      <c r="K35" t="str">
        <f t="shared" si="0"/>
        <v/>
      </c>
      <c r="L35" t="str">
        <f t="shared" si="1"/>
        <v/>
      </c>
      <c r="M35" t="str">
        <f t="shared" si="2"/>
        <v/>
      </c>
      <c r="N35">
        <v>0</v>
      </c>
      <c r="O35">
        <v>2</v>
      </c>
      <c r="P35" t="str">
        <f t="shared" si="3"/>
        <v/>
      </c>
      <c r="Q35" t="str">
        <f t="shared" si="4"/>
        <v/>
      </c>
      <c r="R35" t="str">
        <f t="shared" si="5"/>
        <v/>
      </c>
      <c r="S35" t="str">
        <f>IF(A35="","",IF(VLOOKUP(B35,Players!$A:$AF,30,FALSE)&gt;=60,"Visible","Hidden/Review"))</f>
        <v/>
      </c>
    </row>
    <row r="36" spans="11:19">
      <c r="K36" t="str">
        <f t="shared" si="0"/>
        <v/>
      </c>
      <c r="L36" t="str">
        <f t="shared" si="1"/>
        <v/>
      </c>
      <c r="M36" t="str">
        <f t="shared" si="2"/>
        <v/>
      </c>
      <c r="N36">
        <v>0</v>
      </c>
      <c r="O36">
        <v>2</v>
      </c>
      <c r="P36" t="str">
        <f t="shared" si="3"/>
        <v/>
      </c>
      <c r="Q36" t="str">
        <f t="shared" si="4"/>
        <v/>
      </c>
      <c r="R36" t="str">
        <f t="shared" si="5"/>
        <v/>
      </c>
      <c r="S36" t="str">
        <f>IF(A36="","",IF(VLOOKUP(B36,Players!$A:$AF,30,FALSE)&gt;=60,"Visible","Hidden/Review"))</f>
        <v/>
      </c>
    </row>
    <row r="37" spans="11:19">
      <c r="K37" t="str">
        <f t="shared" ref="K37:K68" si="6">IF(A37="","",G37*1)</f>
        <v/>
      </c>
      <c r="L37" t="str">
        <f t="shared" ref="L37:L68" si="7">IF(A37="","",H37*3)</f>
        <v/>
      </c>
      <c r="M37" t="str">
        <f t="shared" ref="M37:M68" si="8">IF(A37="","",I37*1)</f>
        <v/>
      </c>
      <c r="N37">
        <v>0</v>
      </c>
      <c r="O37">
        <v>2</v>
      </c>
      <c r="P37" t="str">
        <f t="shared" ref="P37:P68" si="9">IF(A37="","",K37+L37+M37+N37+O37)</f>
        <v/>
      </c>
      <c r="Q37" t="str">
        <f t="shared" ref="Q37:Q68" si="10">IF(A37="","",IF(G37=0,0,H37/G37))</f>
        <v/>
      </c>
      <c r="R37" t="str">
        <f t="shared" ref="R37:R68" si="11">IF(A37="","",1+COUNTIF($P$5:$P$200,"&gt;"&amp;P37))</f>
        <v/>
      </c>
      <c r="S37" t="str">
        <f>IF(A37="","",IF(VLOOKUP(B37,Players!$A:$AF,30,FALSE)&gt;=60,"Visible","Hidden/Review"))</f>
        <v/>
      </c>
    </row>
    <row r="38" spans="11:19">
      <c r="K38" t="str">
        <f t="shared" si="6"/>
        <v/>
      </c>
      <c r="L38" t="str">
        <f t="shared" si="7"/>
        <v/>
      </c>
      <c r="M38" t="str">
        <f t="shared" si="8"/>
        <v/>
      </c>
      <c r="N38">
        <v>0</v>
      </c>
      <c r="O38">
        <v>2</v>
      </c>
      <c r="P38" t="str">
        <f t="shared" si="9"/>
        <v/>
      </c>
      <c r="Q38" t="str">
        <f t="shared" si="10"/>
        <v/>
      </c>
      <c r="R38" t="str">
        <f t="shared" si="11"/>
        <v/>
      </c>
      <c r="S38" t="str">
        <f>IF(A38="","",IF(VLOOKUP(B38,Players!$A:$AF,30,FALSE)&gt;=60,"Visible","Hidden/Review"))</f>
        <v/>
      </c>
    </row>
    <row r="39" spans="11:19">
      <c r="K39" t="str">
        <f t="shared" si="6"/>
        <v/>
      </c>
      <c r="L39" t="str">
        <f t="shared" si="7"/>
        <v/>
      </c>
      <c r="M39" t="str">
        <f t="shared" si="8"/>
        <v/>
      </c>
      <c r="N39">
        <v>0</v>
      </c>
      <c r="O39">
        <v>2</v>
      </c>
      <c r="P39" t="str">
        <f t="shared" si="9"/>
        <v/>
      </c>
      <c r="Q39" t="str">
        <f t="shared" si="10"/>
        <v/>
      </c>
      <c r="R39" t="str">
        <f t="shared" si="11"/>
        <v/>
      </c>
      <c r="S39" t="str">
        <f>IF(A39="","",IF(VLOOKUP(B39,Players!$A:$AF,30,FALSE)&gt;=60,"Visible","Hidden/Review"))</f>
        <v/>
      </c>
    </row>
    <row r="40" spans="11:19">
      <c r="K40" t="str">
        <f t="shared" si="6"/>
        <v/>
      </c>
      <c r="L40" t="str">
        <f t="shared" si="7"/>
        <v/>
      </c>
      <c r="M40" t="str">
        <f t="shared" si="8"/>
        <v/>
      </c>
      <c r="N40">
        <v>0</v>
      </c>
      <c r="O40">
        <v>2</v>
      </c>
      <c r="P40" t="str">
        <f t="shared" si="9"/>
        <v/>
      </c>
      <c r="Q40" t="str">
        <f t="shared" si="10"/>
        <v/>
      </c>
      <c r="R40" t="str">
        <f t="shared" si="11"/>
        <v/>
      </c>
      <c r="S40" t="str">
        <f>IF(A40="","",IF(VLOOKUP(B40,Players!$A:$AF,30,FALSE)&gt;=60,"Visible","Hidden/Review"))</f>
        <v/>
      </c>
    </row>
    <row r="41" spans="11:19">
      <c r="K41" t="str">
        <f t="shared" si="6"/>
        <v/>
      </c>
      <c r="L41" t="str">
        <f t="shared" si="7"/>
        <v/>
      </c>
      <c r="M41" t="str">
        <f t="shared" si="8"/>
        <v/>
      </c>
      <c r="N41">
        <v>0</v>
      </c>
      <c r="O41">
        <v>2</v>
      </c>
      <c r="P41" t="str">
        <f t="shared" si="9"/>
        <v/>
      </c>
      <c r="Q41" t="str">
        <f t="shared" si="10"/>
        <v/>
      </c>
      <c r="R41" t="str">
        <f t="shared" si="11"/>
        <v/>
      </c>
      <c r="S41" t="str">
        <f>IF(A41="","",IF(VLOOKUP(B41,Players!$A:$AF,30,FALSE)&gt;=60,"Visible","Hidden/Review"))</f>
        <v/>
      </c>
    </row>
    <row r="42" spans="11:19">
      <c r="K42" t="str">
        <f t="shared" si="6"/>
        <v/>
      </c>
      <c r="L42" t="str">
        <f t="shared" si="7"/>
        <v/>
      </c>
      <c r="M42" t="str">
        <f t="shared" si="8"/>
        <v/>
      </c>
      <c r="N42">
        <v>0</v>
      </c>
      <c r="O42">
        <v>2</v>
      </c>
      <c r="P42" t="str">
        <f t="shared" si="9"/>
        <v/>
      </c>
      <c r="Q42" t="str">
        <f t="shared" si="10"/>
        <v/>
      </c>
      <c r="R42" t="str">
        <f t="shared" si="11"/>
        <v/>
      </c>
      <c r="S42" t="str">
        <f>IF(A42="","",IF(VLOOKUP(B42,Players!$A:$AF,30,FALSE)&gt;=60,"Visible","Hidden/Review"))</f>
        <v/>
      </c>
    </row>
    <row r="43" spans="11:19">
      <c r="K43" t="str">
        <f t="shared" si="6"/>
        <v/>
      </c>
      <c r="L43" t="str">
        <f t="shared" si="7"/>
        <v/>
      </c>
      <c r="M43" t="str">
        <f t="shared" si="8"/>
        <v/>
      </c>
      <c r="N43">
        <v>0</v>
      </c>
      <c r="O43">
        <v>2</v>
      </c>
      <c r="P43" t="str">
        <f t="shared" si="9"/>
        <v/>
      </c>
      <c r="Q43" t="str">
        <f t="shared" si="10"/>
        <v/>
      </c>
      <c r="R43" t="str">
        <f t="shared" si="11"/>
        <v/>
      </c>
      <c r="S43" t="str">
        <f>IF(A43="","",IF(VLOOKUP(B43,Players!$A:$AF,30,FALSE)&gt;=60,"Visible","Hidden/Review"))</f>
        <v/>
      </c>
    </row>
    <row r="44" spans="11:19">
      <c r="K44" t="str">
        <f t="shared" si="6"/>
        <v/>
      </c>
      <c r="L44" t="str">
        <f t="shared" si="7"/>
        <v/>
      </c>
      <c r="M44" t="str">
        <f t="shared" si="8"/>
        <v/>
      </c>
      <c r="N44">
        <v>0</v>
      </c>
      <c r="O44">
        <v>2</v>
      </c>
      <c r="P44" t="str">
        <f t="shared" si="9"/>
        <v/>
      </c>
      <c r="Q44" t="str">
        <f t="shared" si="10"/>
        <v/>
      </c>
      <c r="R44" t="str">
        <f t="shared" si="11"/>
        <v/>
      </c>
      <c r="S44" t="str">
        <f>IF(A44="","",IF(VLOOKUP(B44,Players!$A:$AF,30,FALSE)&gt;=60,"Visible","Hidden/Review"))</f>
        <v/>
      </c>
    </row>
    <row r="45" spans="11:19">
      <c r="K45" t="str">
        <f t="shared" si="6"/>
        <v/>
      </c>
      <c r="L45" t="str">
        <f t="shared" si="7"/>
        <v/>
      </c>
      <c r="M45" t="str">
        <f t="shared" si="8"/>
        <v/>
      </c>
      <c r="N45">
        <v>0</v>
      </c>
      <c r="O45">
        <v>2</v>
      </c>
      <c r="P45" t="str">
        <f t="shared" si="9"/>
        <v/>
      </c>
      <c r="Q45" t="str">
        <f t="shared" si="10"/>
        <v/>
      </c>
      <c r="R45" t="str">
        <f t="shared" si="11"/>
        <v/>
      </c>
      <c r="S45" t="str">
        <f>IF(A45="","",IF(VLOOKUP(B45,Players!$A:$AF,30,FALSE)&gt;=60,"Visible","Hidden/Review"))</f>
        <v/>
      </c>
    </row>
    <row r="46" spans="11:19">
      <c r="K46" t="str">
        <f t="shared" si="6"/>
        <v/>
      </c>
      <c r="L46" t="str">
        <f t="shared" si="7"/>
        <v/>
      </c>
      <c r="M46" t="str">
        <f t="shared" si="8"/>
        <v/>
      </c>
      <c r="N46">
        <v>0</v>
      </c>
      <c r="O46">
        <v>2</v>
      </c>
      <c r="P46" t="str">
        <f t="shared" si="9"/>
        <v/>
      </c>
      <c r="Q46" t="str">
        <f t="shared" si="10"/>
        <v/>
      </c>
      <c r="R46" t="str">
        <f t="shared" si="11"/>
        <v/>
      </c>
      <c r="S46" t="str">
        <f>IF(A46="","",IF(VLOOKUP(B46,Players!$A:$AF,30,FALSE)&gt;=60,"Visible","Hidden/Review"))</f>
        <v/>
      </c>
    </row>
    <row r="47" spans="11:19">
      <c r="K47" t="str">
        <f t="shared" si="6"/>
        <v/>
      </c>
      <c r="L47" t="str">
        <f t="shared" si="7"/>
        <v/>
      </c>
      <c r="M47" t="str">
        <f t="shared" si="8"/>
        <v/>
      </c>
      <c r="N47">
        <v>0</v>
      </c>
      <c r="O47">
        <v>2</v>
      </c>
      <c r="P47" t="str">
        <f t="shared" si="9"/>
        <v/>
      </c>
      <c r="Q47" t="str">
        <f t="shared" si="10"/>
        <v/>
      </c>
      <c r="R47" t="str">
        <f t="shared" si="11"/>
        <v/>
      </c>
      <c r="S47" t="str">
        <f>IF(A47="","",IF(VLOOKUP(B47,Players!$A:$AF,30,FALSE)&gt;=60,"Visible","Hidden/Review"))</f>
        <v/>
      </c>
    </row>
    <row r="48" spans="11:19">
      <c r="K48" t="str">
        <f t="shared" si="6"/>
        <v/>
      </c>
      <c r="L48" t="str">
        <f t="shared" si="7"/>
        <v/>
      </c>
      <c r="M48" t="str">
        <f t="shared" si="8"/>
        <v/>
      </c>
      <c r="N48">
        <v>0</v>
      </c>
      <c r="O48">
        <v>2</v>
      </c>
      <c r="P48" t="str">
        <f t="shared" si="9"/>
        <v/>
      </c>
      <c r="Q48" t="str">
        <f t="shared" si="10"/>
        <v/>
      </c>
      <c r="R48" t="str">
        <f t="shared" si="11"/>
        <v/>
      </c>
      <c r="S48" t="str">
        <f>IF(A48="","",IF(VLOOKUP(B48,Players!$A:$AF,30,FALSE)&gt;=60,"Visible","Hidden/Review"))</f>
        <v/>
      </c>
    </row>
    <row r="49" spans="11:19">
      <c r="K49" t="str">
        <f t="shared" si="6"/>
        <v/>
      </c>
      <c r="L49" t="str">
        <f t="shared" si="7"/>
        <v/>
      </c>
      <c r="M49" t="str">
        <f t="shared" si="8"/>
        <v/>
      </c>
      <c r="N49">
        <v>0</v>
      </c>
      <c r="O49">
        <v>2</v>
      </c>
      <c r="P49" t="str">
        <f t="shared" si="9"/>
        <v/>
      </c>
      <c r="Q49" t="str">
        <f t="shared" si="10"/>
        <v/>
      </c>
      <c r="R49" t="str">
        <f t="shared" si="11"/>
        <v/>
      </c>
      <c r="S49" t="str">
        <f>IF(A49="","",IF(VLOOKUP(B49,Players!$A:$AF,30,FALSE)&gt;=60,"Visible","Hidden/Review"))</f>
        <v/>
      </c>
    </row>
    <row r="50" spans="11:19">
      <c r="K50" t="str">
        <f t="shared" si="6"/>
        <v/>
      </c>
      <c r="L50" t="str">
        <f t="shared" si="7"/>
        <v/>
      </c>
      <c r="M50" t="str">
        <f t="shared" si="8"/>
        <v/>
      </c>
      <c r="N50">
        <v>0</v>
      </c>
      <c r="O50">
        <v>2</v>
      </c>
      <c r="P50" t="str">
        <f t="shared" si="9"/>
        <v/>
      </c>
      <c r="Q50" t="str">
        <f t="shared" si="10"/>
        <v/>
      </c>
      <c r="R50" t="str">
        <f t="shared" si="11"/>
        <v/>
      </c>
      <c r="S50" t="str">
        <f>IF(A50="","",IF(VLOOKUP(B50,Players!$A:$AF,30,FALSE)&gt;=60,"Visible","Hidden/Review"))</f>
        <v/>
      </c>
    </row>
    <row r="51" spans="11:19">
      <c r="K51" t="str">
        <f t="shared" si="6"/>
        <v/>
      </c>
      <c r="L51" t="str">
        <f t="shared" si="7"/>
        <v/>
      </c>
      <c r="M51" t="str">
        <f t="shared" si="8"/>
        <v/>
      </c>
      <c r="N51">
        <v>0</v>
      </c>
      <c r="O51">
        <v>2</v>
      </c>
      <c r="P51" t="str">
        <f t="shared" si="9"/>
        <v/>
      </c>
      <c r="Q51" t="str">
        <f t="shared" si="10"/>
        <v/>
      </c>
      <c r="R51" t="str">
        <f t="shared" si="11"/>
        <v/>
      </c>
      <c r="S51" t="str">
        <f>IF(A51="","",IF(VLOOKUP(B51,Players!$A:$AF,30,FALSE)&gt;=60,"Visible","Hidden/Review"))</f>
        <v/>
      </c>
    </row>
    <row r="52" spans="11:19">
      <c r="K52" t="str">
        <f t="shared" si="6"/>
        <v/>
      </c>
      <c r="L52" t="str">
        <f t="shared" si="7"/>
        <v/>
      </c>
      <c r="M52" t="str">
        <f t="shared" si="8"/>
        <v/>
      </c>
      <c r="N52">
        <v>0</v>
      </c>
      <c r="O52">
        <v>2</v>
      </c>
      <c r="P52" t="str">
        <f t="shared" si="9"/>
        <v/>
      </c>
      <c r="Q52" t="str">
        <f t="shared" si="10"/>
        <v/>
      </c>
      <c r="R52" t="str">
        <f t="shared" si="11"/>
        <v/>
      </c>
      <c r="S52" t="str">
        <f>IF(A52="","",IF(VLOOKUP(B52,Players!$A:$AF,30,FALSE)&gt;=60,"Visible","Hidden/Review"))</f>
        <v/>
      </c>
    </row>
    <row r="53" spans="11:19">
      <c r="K53" t="str">
        <f t="shared" si="6"/>
        <v/>
      </c>
      <c r="L53" t="str">
        <f t="shared" si="7"/>
        <v/>
      </c>
      <c r="M53" t="str">
        <f t="shared" si="8"/>
        <v/>
      </c>
      <c r="N53">
        <v>0</v>
      </c>
      <c r="O53">
        <v>2</v>
      </c>
      <c r="P53" t="str">
        <f t="shared" si="9"/>
        <v/>
      </c>
      <c r="Q53" t="str">
        <f t="shared" si="10"/>
        <v/>
      </c>
      <c r="R53" t="str">
        <f t="shared" si="11"/>
        <v/>
      </c>
      <c r="S53" t="str">
        <f>IF(A53="","",IF(VLOOKUP(B53,Players!$A:$AF,30,FALSE)&gt;=60,"Visible","Hidden/Review"))</f>
        <v/>
      </c>
    </row>
    <row r="54" spans="11:19">
      <c r="K54" t="str">
        <f t="shared" si="6"/>
        <v/>
      </c>
      <c r="L54" t="str">
        <f t="shared" si="7"/>
        <v/>
      </c>
      <c r="M54" t="str">
        <f t="shared" si="8"/>
        <v/>
      </c>
      <c r="N54">
        <v>0</v>
      </c>
      <c r="O54">
        <v>2</v>
      </c>
      <c r="P54" t="str">
        <f t="shared" si="9"/>
        <v/>
      </c>
      <c r="Q54" t="str">
        <f t="shared" si="10"/>
        <v/>
      </c>
      <c r="R54" t="str">
        <f t="shared" si="11"/>
        <v/>
      </c>
      <c r="S54" t="str">
        <f>IF(A54="","",IF(VLOOKUP(B54,Players!$A:$AF,30,FALSE)&gt;=60,"Visible","Hidden/Review"))</f>
        <v/>
      </c>
    </row>
    <row r="55" spans="11:19">
      <c r="K55" t="str">
        <f t="shared" si="6"/>
        <v/>
      </c>
      <c r="L55" t="str">
        <f t="shared" si="7"/>
        <v/>
      </c>
      <c r="M55" t="str">
        <f t="shared" si="8"/>
        <v/>
      </c>
      <c r="N55">
        <v>0</v>
      </c>
      <c r="O55">
        <v>2</v>
      </c>
      <c r="P55" t="str">
        <f t="shared" si="9"/>
        <v/>
      </c>
      <c r="Q55" t="str">
        <f t="shared" si="10"/>
        <v/>
      </c>
      <c r="R55" t="str">
        <f t="shared" si="11"/>
        <v/>
      </c>
      <c r="S55" t="str">
        <f>IF(A55="","",IF(VLOOKUP(B55,Players!$A:$AF,30,FALSE)&gt;=60,"Visible","Hidden/Review"))</f>
        <v/>
      </c>
    </row>
    <row r="56" spans="11:19">
      <c r="K56" t="str">
        <f t="shared" si="6"/>
        <v/>
      </c>
      <c r="L56" t="str">
        <f t="shared" si="7"/>
        <v/>
      </c>
      <c r="M56" t="str">
        <f t="shared" si="8"/>
        <v/>
      </c>
      <c r="N56">
        <v>0</v>
      </c>
      <c r="O56">
        <v>2</v>
      </c>
      <c r="P56" t="str">
        <f t="shared" si="9"/>
        <v/>
      </c>
      <c r="Q56" t="str">
        <f t="shared" si="10"/>
        <v/>
      </c>
      <c r="R56" t="str">
        <f t="shared" si="11"/>
        <v/>
      </c>
      <c r="S56" t="str">
        <f>IF(A56="","",IF(VLOOKUP(B56,Players!$A:$AF,30,FALSE)&gt;=60,"Visible","Hidden/Review"))</f>
        <v/>
      </c>
    </row>
    <row r="57" spans="11:19">
      <c r="K57" t="str">
        <f t="shared" si="6"/>
        <v/>
      </c>
      <c r="L57" t="str">
        <f t="shared" si="7"/>
        <v/>
      </c>
      <c r="M57" t="str">
        <f t="shared" si="8"/>
        <v/>
      </c>
      <c r="N57">
        <v>0</v>
      </c>
      <c r="O57">
        <v>2</v>
      </c>
      <c r="P57" t="str">
        <f t="shared" si="9"/>
        <v/>
      </c>
      <c r="Q57" t="str">
        <f t="shared" si="10"/>
        <v/>
      </c>
      <c r="R57" t="str">
        <f t="shared" si="11"/>
        <v/>
      </c>
      <c r="S57" t="str">
        <f>IF(A57="","",IF(VLOOKUP(B57,Players!$A:$AF,30,FALSE)&gt;=60,"Visible","Hidden/Review"))</f>
        <v/>
      </c>
    </row>
    <row r="58" spans="11:19">
      <c r="K58" t="str">
        <f t="shared" si="6"/>
        <v/>
      </c>
      <c r="L58" t="str">
        <f t="shared" si="7"/>
        <v/>
      </c>
      <c r="M58" t="str">
        <f t="shared" si="8"/>
        <v/>
      </c>
      <c r="N58">
        <v>0</v>
      </c>
      <c r="O58">
        <v>2</v>
      </c>
      <c r="P58" t="str">
        <f t="shared" si="9"/>
        <v/>
      </c>
      <c r="Q58" t="str">
        <f t="shared" si="10"/>
        <v/>
      </c>
      <c r="R58" t="str">
        <f t="shared" si="11"/>
        <v/>
      </c>
      <c r="S58" t="str">
        <f>IF(A58="","",IF(VLOOKUP(B58,Players!$A:$AF,30,FALSE)&gt;=60,"Visible","Hidden/Review"))</f>
        <v/>
      </c>
    </row>
    <row r="59" spans="11:19">
      <c r="K59" t="str">
        <f t="shared" si="6"/>
        <v/>
      </c>
      <c r="L59" t="str">
        <f t="shared" si="7"/>
        <v/>
      </c>
      <c r="M59" t="str">
        <f t="shared" si="8"/>
        <v/>
      </c>
      <c r="N59">
        <v>0</v>
      </c>
      <c r="O59">
        <v>2</v>
      </c>
      <c r="P59" t="str">
        <f t="shared" si="9"/>
        <v/>
      </c>
      <c r="Q59" t="str">
        <f t="shared" si="10"/>
        <v/>
      </c>
      <c r="R59" t="str">
        <f t="shared" si="11"/>
        <v/>
      </c>
      <c r="S59" t="str">
        <f>IF(A59="","",IF(VLOOKUP(B59,Players!$A:$AF,30,FALSE)&gt;=60,"Visible","Hidden/Review"))</f>
        <v/>
      </c>
    </row>
    <row r="60" spans="11:19">
      <c r="K60" t="str">
        <f t="shared" si="6"/>
        <v/>
      </c>
      <c r="L60" t="str">
        <f t="shared" si="7"/>
        <v/>
      </c>
      <c r="M60" t="str">
        <f t="shared" si="8"/>
        <v/>
      </c>
      <c r="N60">
        <v>0</v>
      </c>
      <c r="O60">
        <v>2</v>
      </c>
      <c r="P60" t="str">
        <f t="shared" si="9"/>
        <v/>
      </c>
      <c r="Q60" t="str">
        <f t="shared" si="10"/>
        <v/>
      </c>
      <c r="R60" t="str">
        <f t="shared" si="11"/>
        <v/>
      </c>
      <c r="S60" t="str">
        <f>IF(A60="","",IF(VLOOKUP(B60,Players!$A:$AF,30,FALSE)&gt;=60,"Visible","Hidden/Review"))</f>
        <v/>
      </c>
    </row>
    <row r="61" spans="11:19">
      <c r="K61" t="str">
        <f t="shared" si="6"/>
        <v/>
      </c>
      <c r="L61" t="str">
        <f t="shared" si="7"/>
        <v/>
      </c>
      <c r="M61" t="str">
        <f t="shared" si="8"/>
        <v/>
      </c>
      <c r="N61">
        <v>0</v>
      </c>
      <c r="O61">
        <v>2</v>
      </c>
      <c r="P61" t="str">
        <f t="shared" si="9"/>
        <v/>
      </c>
      <c r="Q61" t="str">
        <f t="shared" si="10"/>
        <v/>
      </c>
      <c r="R61" t="str">
        <f t="shared" si="11"/>
        <v/>
      </c>
      <c r="S61" t="str">
        <f>IF(A61="","",IF(VLOOKUP(B61,Players!$A:$AF,30,FALSE)&gt;=60,"Visible","Hidden/Review"))</f>
        <v/>
      </c>
    </row>
    <row r="62" spans="11:19">
      <c r="K62" t="str">
        <f t="shared" si="6"/>
        <v/>
      </c>
      <c r="L62" t="str">
        <f t="shared" si="7"/>
        <v/>
      </c>
      <c r="M62" t="str">
        <f t="shared" si="8"/>
        <v/>
      </c>
      <c r="N62">
        <v>0</v>
      </c>
      <c r="O62">
        <v>2</v>
      </c>
      <c r="P62" t="str">
        <f t="shared" si="9"/>
        <v/>
      </c>
      <c r="Q62" t="str">
        <f t="shared" si="10"/>
        <v/>
      </c>
      <c r="R62" t="str">
        <f t="shared" si="11"/>
        <v/>
      </c>
      <c r="S62" t="str">
        <f>IF(A62="","",IF(VLOOKUP(B62,Players!$A:$AF,30,FALSE)&gt;=60,"Visible","Hidden/Review"))</f>
        <v/>
      </c>
    </row>
    <row r="63" spans="11:19">
      <c r="K63" t="str">
        <f t="shared" si="6"/>
        <v/>
      </c>
      <c r="L63" t="str">
        <f t="shared" si="7"/>
        <v/>
      </c>
      <c r="M63" t="str">
        <f t="shared" si="8"/>
        <v/>
      </c>
      <c r="N63">
        <v>0</v>
      </c>
      <c r="O63">
        <v>2</v>
      </c>
      <c r="P63" t="str">
        <f t="shared" si="9"/>
        <v/>
      </c>
      <c r="Q63" t="str">
        <f t="shared" si="10"/>
        <v/>
      </c>
      <c r="R63" t="str">
        <f t="shared" si="11"/>
        <v/>
      </c>
      <c r="S63" t="str">
        <f>IF(A63="","",IF(VLOOKUP(B63,Players!$A:$AF,30,FALSE)&gt;=60,"Visible","Hidden/Review"))</f>
        <v/>
      </c>
    </row>
    <row r="64" spans="11:19">
      <c r="K64" t="str">
        <f t="shared" si="6"/>
        <v/>
      </c>
      <c r="L64" t="str">
        <f t="shared" si="7"/>
        <v/>
      </c>
      <c r="M64" t="str">
        <f t="shared" si="8"/>
        <v/>
      </c>
      <c r="N64">
        <v>0</v>
      </c>
      <c r="O64">
        <v>2</v>
      </c>
      <c r="P64" t="str">
        <f t="shared" si="9"/>
        <v/>
      </c>
      <c r="Q64" t="str">
        <f t="shared" si="10"/>
        <v/>
      </c>
      <c r="R64" t="str">
        <f t="shared" si="11"/>
        <v/>
      </c>
      <c r="S64" t="str">
        <f>IF(A64="","",IF(VLOOKUP(B64,Players!$A:$AF,30,FALSE)&gt;=60,"Visible","Hidden/Review"))</f>
        <v/>
      </c>
    </row>
    <row r="65" spans="11:19">
      <c r="K65" t="str">
        <f t="shared" si="6"/>
        <v/>
      </c>
      <c r="L65" t="str">
        <f t="shared" si="7"/>
        <v/>
      </c>
      <c r="M65" t="str">
        <f t="shared" si="8"/>
        <v/>
      </c>
      <c r="N65">
        <v>0</v>
      </c>
      <c r="O65">
        <v>2</v>
      </c>
      <c r="P65" t="str">
        <f t="shared" si="9"/>
        <v/>
      </c>
      <c r="Q65" t="str">
        <f t="shared" si="10"/>
        <v/>
      </c>
      <c r="R65" t="str">
        <f t="shared" si="11"/>
        <v/>
      </c>
      <c r="S65" t="str">
        <f>IF(A65="","",IF(VLOOKUP(B65,Players!$A:$AF,30,FALSE)&gt;=60,"Visible","Hidden/Review"))</f>
        <v/>
      </c>
    </row>
    <row r="66" spans="11:19">
      <c r="K66" t="str">
        <f t="shared" si="6"/>
        <v/>
      </c>
      <c r="L66" t="str">
        <f t="shared" si="7"/>
        <v/>
      </c>
      <c r="M66" t="str">
        <f t="shared" si="8"/>
        <v/>
      </c>
      <c r="N66">
        <v>0</v>
      </c>
      <c r="O66">
        <v>2</v>
      </c>
      <c r="P66" t="str">
        <f t="shared" si="9"/>
        <v/>
      </c>
      <c r="Q66" t="str">
        <f t="shared" si="10"/>
        <v/>
      </c>
      <c r="R66" t="str">
        <f t="shared" si="11"/>
        <v/>
      </c>
      <c r="S66" t="str">
        <f>IF(A66="","",IF(VLOOKUP(B66,Players!$A:$AF,30,FALSE)&gt;=60,"Visible","Hidden/Review"))</f>
        <v/>
      </c>
    </row>
    <row r="67" spans="11:19">
      <c r="K67" t="str">
        <f t="shared" si="6"/>
        <v/>
      </c>
      <c r="L67" t="str">
        <f t="shared" si="7"/>
        <v/>
      </c>
      <c r="M67" t="str">
        <f t="shared" si="8"/>
        <v/>
      </c>
      <c r="N67">
        <v>0</v>
      </c>
      <c r="O67">
        <v>2</v>
      </c>
      <c r="P67" t="str">
        <f t="shared" si="9"/>
        <v/>
      </c>
      <c r="Q67" t="str">
        <f t="shared" si="10"/>
        <v/>
      </c>
      <c r="R67" t="str">
        <f t="shared" si="11"/>
        <v/>
      </c>
      <c r="S67" t="str">
        <f>IF(A67="","",IF(VLOOKUP(B67,Players!$A:$AF,30,FALSE)&gt;=60,"Visible","Hidden/Review"))</f>
        <v/>
      </c>
    </row>
    <row r="68" spans="11:19">
      <c r="K68" t="str">
        <f t="shared" si="6"/>
        <v/>
      </c>
      <c r="L68" t="str">
        <f t="shared" si="7"/>
        <v/>
      </c>
      <c r="M68" t="str">
        <f t="shared" si="8"/>
        <v/>
      </c>
      <c r="N68">
        <v>0</v>
      </c>
      <c r="O68">
        <v>2</v>
      </c>
      <c r="P68" t="str">
        <f t="shared" si="9"/>
        <v/>
      </c>
      <c r="Q68" t="str">
        <f t="shared" si="10"/>
        <v/>
      </c>
      <c r="R68" t="str">
        <f t="shared" si="11"/>
        <v/>
      </c>
      <c r="S68" t="str">
        <f>IF(A68="","",IF(VLOOKUP(B68,Players!$A:$AF,30,FALSE)&gt;=60,"Visible","Hidden/Review"))</f>
        <v/>
      </c>
    </row>
    <row r="69" spans="11:19">
      <c r="K69" t="str">
        <f t="shared" ref="K69:K100" si="12">IF(A69="","",G69*1)</f>
        <v/>
      </c>
      <c r="L69" t="str">
        <f t="shared" ref="L69:L100" si="13">IF(A69="","",H69*3)</f>
        <v/>
      </c>
      <c r="M69" t="str">
        <f t="shared" ref="M69:M100" si="14">IF(A69="","",I69*1)</f>
        <v/>
      </c>
      <c r="N69">
        <v>0</v>
      </c>
      <c r="O69">
        <v>2</v>
      </c>
      <c r="P69" t="str">
        <f t="shared" ref="P69:P100" si="15">IF(A69="","",K69+L69+M69+N69+O69)</f>
        <v/>
      </c>
      <c r="Q69" t="str">
        <f t="shared" ref="Q69:Q100" si="16">IF(A69="","",IF(G69=0,0,H69/G69))</f>
        <v/>
      </c>
      <c r="R69" t="str">
        <f t="shared" ref="R69:R100" si="17">IF(A69="","",1+COUNTIF($P$5:$P$200,"&gt;"&amp;P69))</f>
        <v/>
      </c>
      <c r="S69" t="str">
        <f>IF(A69="","",IF(VLOOKUP(B69,Players!$A:$AF,30,FALSE)&gt;=60,"Visible","Hidden/Review"))</f>
        <v/>
      </c>
    </row>
    <row r="70" spans="11:19">
      <c r="K70" t="str">
        <f t="shared" si="12"/>
        <v/>
      </c>
      <c r="L70" t="str">
        <f t="shared" si="13"/>
        <v/>
      </c>
      <c r="M70" t="str">
        <f t="shared" si="14"/>
        <v/>
      </c>
      <c r="N70">
        <v>0</v>
      </c>
      <c r="O70">
        <v>2</v>
      </c>
      <c r="P70" t="str">
        <f t="shared" si="15"/>
        <v/>
      </c>
      <c r="Q70" t="str">
        <f t="shared" si="16"/>
        <v/>
      </c>
      <c r="R70" t="str">
        <f t="shared" si="17"/>
        <v/>
      </c>
      <c r="S70" t="str">
        <f>IF(A70="","",IF(VLOOKUP(B70,Players!$A:$AF,30,FALSE)&gt;=60,"Visible","Hidden/Review"))</f>
        <v/>
      </c>
    </row>
    <row r="71" spans="11:19">
      <c r="K71" t="str">
        <f t="shared" si="12"/>
        <v/>
      </c>
      <c r="L71" t="str">
        <f t="shared" si="13"/>
        <v/>
      </c>
      <c r="M71" t="str">
        <f t="shared" si="14"/>
        <v/>
      </c>
      <c r="N71">
        <v>0</v>
      </c>
      <c r="O71">
        <v>2</v>
      </c>
      <c r="P71" t="str">
        <f t="shared" si="15"/>
        <v/>
      </c>
      <c r="Q71" t="str">
        <f t="shared" si="16"/>
        <v/>
      </c>
      <c r="R71" t="str">
        <f t="shared" si="17"/>
        <v/>
      </c>
      <c r="S71" t="str">
        <f>IF(A71="","",IF(VLOOKUP(B71,Players!$A:$AF,30,FALSE)&gt;=60,"Visible","Hidden/Review"))</f>
        <v/>
      </c>
    </row>
    <row r="72" spans="11:19">
      <c r="K72" t="str">
        <f t="shared" si="12"/>
        <v/>
      </c>
      <c r="L72" t="str">
        <f t="shared" si="13"/>
        <v/>
      </c>
      <c r="M72" t="str">
        <f t="shared" si="14"/>
        <v/>
      </c>
      <c r="N72">
        <v>0</v>
      </c>
      <c r="O72">
        <v>2</v>
      </c>
      <c r="P72" t="str">
        <f t="shared" si="15"/>
        <v/>
      </c>
      <c r="Q72" t="str">
        <f t="shared" si="16"/>
        <v/>
      </c>
      <c r="R72" t="str">
        <f t="shared" si="17"/>
        <v/>
      </c>
      <c r="S72" t="str">
        <f>IF(A72="","",IF(VLOOKUP(B72,Players!$A:$AF,30,FALSE)&gt;=60,"Visible","Hidden/Review"))</f>
        <v/>
      </c>
    </row>
    <row r="73" spans="11:19">
      <c r="K73" t="str">
        <f t="shared" si="12"/>
        <v/>
      </c>
      <c r="L73" t="str">
        <f t="shared" si="13"/>
        <v/>
      </c>
      <c r="M73" t="str">
        <f t="shared" si="14"/>
        <v/>
      </c>
      <c r="N73">
        <v>0</v>
      </c>
      <c r="O73">
        <v>2</v>
      </c>
      <c r="P73" t="str">
        <f t="shared" si="15"/>
        <v/>
      </c>
      <c r="Q73" t="str">
        <f t="shared" si="16"/>
        <v/>
      </c>
      <c r="R73" t="str">
        <f t="shared" si="17"/>
        <v/>
      </c>
      <c r="S73" t="str">
        <f>IF(A73="","",IF(VLOOKUP(B73,Players!$A:$AF,30,FALSE)&gt;=60,"Visible","Hidden/Review"))</f>
        <v/>
      </c>
    </row>
    <row r="74" spans="11:19">
      <c r="K74" t="str">
        <f t="shared" si="12"/>
        <v/>
      </c>
      <c r="L74" t="str">
        <f t="shared" si="13"/>
        <v/>
      </c>
      <c r="M74" t="str">
        <f t="shared" si="14"/>
        <v/>
      </c>
      <c r="N74">
        <v>0</v>
      </c>
      <c r="O74">
        <v>2</v>
      </c>
      <c r="P74" t="str">
        <f t="shared" si="15"/>
        <v/>
      </c>
      <c r="Q74" t="str">
        <f t="shared" si="16"/>
        <v/>
      </c>
      <c r="R74" t="str">
        <f t="shared" si="17"/>
        <v/>
      </c>
      <c r="S74" t="str">
        <f>IF(A74="","",IF(VLOOKUP(B74,Players!$A:$AF,30,FALSE)&gt;=60,"Visible","Hidden/Review"))</f>
        <v/>
      </c>
    </row>
    <row r="75" spans="11:19">
      <c r="K75" t="str">
        <f t="shared" si="12"/>
        <v/>
      </c>
      <c r="L75" t="str">
        <f t="shared" si="13"/>
        <v/>
      </c>
      <c r="M75" t="str">
        <f t="shared" si="14"/>
        <v/>
      </c>
      <c r="N75">
        <v>0</v>
      </c>
      <c r="O75">
        <v>2</v>
      </c>
      <c r="P75" t="str">
        <f t="shared" si="15"/>
        <v/>
      </c>
      <c r="Q75" t="str">
        <f t="shared" si="16"/>
        <v/>
      </c>
      <c r="R75" t="str">
        <f t="shared" si="17"/>
        <v/>
      </c>
      <c r="S75" t="str">
        <f>IF(A75="","",IF(VLOOKUP(B75,Players!$A:$AF,30,FALSE)&gt;=60,"Visible","Hidden/Review"))</f>
        <v/>
      </c>
    </row>
    <row r="76" spans="11:19">
      <c r="K76" t="str">
        <f t="shared" si="12"/>
        <v/>
      </c>
      <c r="L76" t="str">
        <f t="shared" si="13"/>
        <v/>
      </c>
      <c r="M76" t="str">
        <f t="shared" si="14"/>
        <v/>
      </c>
      <c r="N76">
        <v>0</v>
      </c>
      <c r="O76">
        <v>2</v>
      </c>
      <c r="P76" t="str">
        <f t="shared" si="15"/>
        <v/>
      </c>
      <c r="Q76" t="str">
        <f t="shared" si="16"/>
        <v/>
      </c>
      <c r="R76" t="str">
        <f t="shared" si="17"/>
        <v/>
      </c>
      <c r="S76" t="str">
        <f>IF(A76="","",IF(VLOOKUP(B76,Players!$A:$AF,30,FALSE)&gt;=60,"Visible","Hidden/Review"))</f>
        <v/>
      </c>
    </row>
    <row r="77" spans="11:19">
      <c r="K77" t="str">
        <f t="shared" si="12"/>
        <v/>
      </c>
      <c r="L77" t="str">
        <f t="shared" si="13"/>
        <v/>
      </c>
      <c r="M77" t="str">
        <f t="shared" si="14"/>
        <v/>
      </c>
      <c r="N77">
        <v>0</v>
      </c>
      <c r="O77">
        <v>2</v>
      </c>
      <c r="P77" t="str">
        <f t="shared" si="15"/>
        <v/>
      </c>
      <c r="Q77" t="str">
        <f t="shared" si="16"/>
        <v/>
      </c>
      <c r="R77" t="str">
        <f t="shared" si="17"/>
        <v/>
      </c>
      <c r="S77" t="str">
        <f>IF(A77="","",IF(VLOOKUP(B77,Players!$A:$AF,30,FALSE)&gt;=60,"Visible","Hidden/Review"))</f>
        <v/>
      </c>
    </row>
    <row r="78" spans="11:19">
      <c r="K78" t="str">
        <f t="shared" si="12"/>
        <v/>
      </c>
      <c r="L78" t="str">
        <f t="shared" si="13"/>
        <v/>
      </c>
      <c r="M78" t="str">
        <f t="shared" si="14"/>
        <v/>
      </c>
      <c r="N78">
        <v>0</v>
      </c>
      <c r="O78">
        <v>2</v>
      </c>
      <c r="P78" t="str">
        <f t="shared" si="15"/>
        <v/>
      </c>
      <c r="Q78" t="str">
        <f t="shared" si="16"/>
        <v/>
      </c>
      <c r="R78" t="str">
        <f t="shared" si="17"/>
        <v/>
      </c>
      <c r="S78" t="str">
        <f>IF(A78="","",IF(VLOOKUP(B78,Players!$A:$AF,30,FALSE)&gt;=60,"Visible","Hidden/Review"))</f>
        <v/>
      </c>
    </row>
    <row r="79" spans="11:19">
      <c r="K79" t="str">
        <f t="shared" si="12"/>
        <v/>
      </c>
      <c r="L79" t="str">
        <f t="shared" si="13"/>
        <v/>
      </c>
      <c r="M79" t="str">
        <f t="shared" si="14"/>
        <v/>
      </c>
      <c r="N79">
        <v>0</v>
      </c>
      <c r="O79">
        <v>2</v>
      </c>
      <c r="P79" t="str">
        <f t="shared" si="15"/>
        <v/>
      </c>
      <c r="Q79" t="str">
        <f t="shared" si="16"/>
        <v/>
      </c>
      <c r="R79" t="str">
        <f t="shared" si="17"/>
        <v/>
      </c>
      <c r="S79" t="str">
        <f>IF(A79="","",IF(VLOOKUP(B79,Players!$A:$AF,30,FALSE)&gt;=60,"Visible","Hidden/Review"))</f>
        <v/>
      </c>
    </row>
    <row r="80" spans="11:19">
      <c r="K80" t="str">
        <f t="shared" si="12"/>
        <v/>
      </c>
      <c r="L80" t="str">
        <f t="shared" si="13"/>
        <v/>
      </c>
      <c r="M80" t="str">
        <f t="shared" si="14"/>
        <v/>
      </c>
      <c r="N80">
        <v>0</v>
      </c>
      <c r="O80">
        <v>2</v>
      </c>
      <c r="P80" t="str">
        <f t="shared" si="15"/>
        <v/>
      </c>
      <c r="Q80" t="str">
        <f t="shared" si="16"/>
        <v/>
      </c>
      <c r="R80" t="str">
        <f t="shared" si="17"/>
        <v/>
      </c>
      <c r="S80" t="str">
        <f>IF(A80="","",IF(VLOOKUP(B80,Players!$A:$AF,30,FALSE)&gt;=60,"Visible","Hidden/Review"))</f>
        <v/>
      </c>
    </row>
    <row r="81" spans="11:19">
      <c r="K81" t="str">
        <f t="shared" si="12"/>
        <v/>
      </c>
      <c r="L81" t="str">
        <f t="shared" si="13"/>
        <v/>
      </c>
      <c r="M81" t="str">
        <f t="shared" si="14"/>
        <v/>
      </c>
      <c r="N81">
        <v>0</v>
      </c>
      <c r="O81">
        <v>2</v>
      </c>
      <c r="P81" t="str">
        <f t="shared" si="15"/>
        <v/>
      </c>
      <c r="Q81" t="str">
        <f t="shared" si="16"/>
        <v/>
      </c>
      <c r="R81" t="str">
        <f t="shared" si="17"/>
        <v/>
      </c>
      <c r="S81" t="str">
        <f>IF(A81="","",IF(VLOOKUP(B81,Players!$A:$AF,30,FALSE)&gt;=60,"Visible","Hidden/Review"))</f>
        <v/>
      </c>
    </row>
    <row r="82" spans="11:19">
      <c r="K82" t="str">
        <f t="shared" si="12"/>
        <v/>
      </c>
      <c r="L82" t="str">
        <f t="shared" si="13"/>
        <v/>
      </c>
      <c r="M82" t="str">
        <f t="shared" si="14"/>
        <v/>
      </c>
      <c r="N82">
        <v>0</v>
      </c>
      <c r="O82">
        <v>2</v>
      </c>
      <c r="P82" t="str">
        <f t="shared" si="15"/>
        <v/>
      </c>
      <c r="Q82" t="str">
        <f t="shared" si="16"/>
        <v/>
      </c>
      <c r="R82" t="str">
        <f t="shared" si="17"/>
        <v/>
      </c>
      <c r="S82" t="str">
        <f>IF(A82="","",IF(VLOOKUP(B82,Players!$A:$AF,30,FALSE)&gt;=60,"Visible","Hidden/Review"))</f>
        <v/>
      </c>
    </row>
    <row r="83" spans="11:19">
      <c r="K83" t="str">
        <f t="shared" si="12"/>
        <v/>
      </c>
      <c r="L83" t="str">
        <f t="shared" si="13"/>
        <v/>
      </c>
      <c r="M83" t="str">
        <f t="shared" si="14"/>
        <v/>
      </c>
      <c r="N83">
        <v>0</v>
      </c>
      <c r="O83">
        <v>2</v>
      </c>
      <c r="P83" t="str">
        <f t="shared" si="15"/>
        <v/>
      </c>
      <c r="Q83" t="str">
        <f t="shared" si="16"/>
        <v/>
      </c>
      <c r="R83" t="str">
        <f t="shared" si="17"/>
        <v/>
      </c>
      <c r="S83" t="str">
        <f>IF(A83="","",IF(VLOOKUP(B83,Players!$A:$AF,30,FALSE)&gt;=60,"Visible","Hidden/Review"))</f>
        <v/>
      </c>
    </row>
    <row r="84" spans="11:19">
      <c r="K84" t="str">
        <f t="shared" si="12"/>
        <v/>
      </c>
      <c r="L84" t="str">
        <f t="shared" si="13"/>
        <v/>
      </c>
      <c r="M84" t="str">
        <f t="shared" si="14"/>
        <v/>
      </c>
      <c r="N84">
        <v>0</v>
      </c>
      <c r="O84">
        <v>2</v>
      </c>
      <c r="P84" t="str">
        <f t="shared" si="15"/>
        <v/>
      </c>
      <c r="Q84" t="str">
        <f t="shared" si="16"/>
        <v/>
      </c>
      <c r="R84" t="str">
        <f t="shared" si="17"/>
        <v/>
      </c>
      <c r="S84" t="str">
        <f>IF(A84="","",IF(VLOOKUP(B84,Players!$A:$AF,30,FALSE)&gt;=60,"Visible","Hidden/Review"))</f>
        <v/>
      </c>
    </row>
    <row r="85" spans="11:19">
      <c r="K85" t="str">
        <f t="shared" si="12"/>
        <v/>
      </c>
      <c r="L85" t="str">
        <f t="shared" si="13"/>
        <v/>
      </c>
      <c r="M85" t="str">
        <f t="shared" si="14"/>
        <v/>
      </c>
      <c r="N85">
        <v>0</v>
      </c>
      <c r="O85">
        <v>2</v>
      </c>
      <c r="P85" t="str">
        <f t="shared" si="15"/>
        <v/>
      </c>
      <c r="Q85" t="str">
        <f t="shared" si="16"/>
        <v/>
      </c>
      <c r="R85" t="str">
        <f t="shared" si="17"/>
        <v/>
      </c>
      <c r="S85" t="str">
        <f>IF(A85="","",IF(VLOOKUP(B85,Players!$A:$AF,30,FALSE)&gt;=60,"Visible","Hidden/Review"))</f>
        <v/>
      </c>
    </row>
    <row r="86" spans="11:19">
      <c r="K86" t="str">
        <f t="shared" si="12"/>
        <v/>
      </c>
      <c r="L86" t="str">
        <f t="shared" si="13"/>
        <v/>
      </c>
      <c r="M86" t="str">
        <f t="shared" si="14"/>
        <v/>
      </c>
      <c r="N86">
        <v>0</v>
      </c>
      <c r="O86">
        <v>2</v>
      </c>
      <c r="P86" t="str">
        <f t="shared" si="15"/>
        <v/>
      </c>
      <c r="Q86" t="str">
        <f t="shared" si="16"/>
        <v/>
      </c>
      <c r="R86" t="str">
        <f t="shared" si="17"/>
        <v/>
      </c>
      <c r="S86" t="str">
        <f>IF(A86="","",IF(VLOOKUP(B86,Players!$A:$AF,30,FALSE)&gt;=60,"Visible","Hidden/Review"))</f>
        <v/>
      </c>
    </row>
    <row r="87" spans="11:19">
      <c r="K87" t="str">
        <f t="shared" si="12"/>
        <v/>
      </c>
      <c r="L87" t="str">
        <f t="shared" si="13"/>
        <v/>
      </c>
      <c r="M87" t="str">
        <f t="shared" si="14"/>
        <v/>
      </c>
      <c r="N87">
        <v>0</v>
      </c>
      <c r="O87">
        <v>2</v>
      </c>
      <c r="P87" t="str">
        <f t="shared" si="15"/>
        <v/>
      </c>
      <c r="Q87" t="str">
        <f t="shared" si="16"/>
        <v/>
      </c>
      <c r="R87" t="str">
        <f t="shared" si="17"/>
        <v/>
      </c>
      <c r="S87" t="str">
        <f>IF(A87="","",IF(VLOOKUP(B87,Players!$A:$AF,30,FALSE)&gt;=60,"Visible","Hidden/Review"))</f>
        <v/>
      </c>
    </row>
    <row r="88" spans="11:19">
      <c r="K88" t="str">
        <f t="shared" si="12"/>
        <v/>
      </c>
      <c r="L88" t="str">
        <f t="shared" si="13"/>
        <v/>
      </c>
      <c r="M88" t="str">
        <f t="shared" si="14"/>
        <v/>
      </c>
      <c r="N88">
        <v>0</v>
      </c>
      <c r="O88">
        <v>2</v>
      </c>
      <c r="P88" t="str">
        <f t="shared" si="15"/>
        <v/>
      </c>
      <c r="Q88" t="str">
        <f t="shared" si="16"/>
        <v/>
      </c>
      <c r="R88" t="str">
        <f t="shared" si="17"/>
        <v/>
      </c>
      <c r="S88" t="str">
        <f>IF(A88="","",IF(VLOOKUP(B88,Players!$A:$AF,30,FALSE)&gt;=60,"Visible","Hidden/Review"))</f>
        <v/>
      </c>
    </row>
    <row r="89" spans="11:19">
      <c r="K89" t="str">
        <f t="shared" si="12"/>
        <v/>
      </c>
      <c r="L89" t="str">
        <f t="shared" si="13"/>
        <v/>
      </c>
      <c r="M89" t="str">
        <f t="shared" si="14"/>
        <v/>
      </c>
      <c r="N89">
        <v>0</v>
      </c>
      <c r="O89">
        <v>2</v>
      </c>
      <c r="P89" t="str">
        <f t="shared" si="15"/>
        <v/>
      </c>
      <c r="Q89" t="str">
        <f t="shared" si="16"/>
        <v/>
      </c>
      <c r="R89" t="str">
        <f t="shared" si="17"/>
        <v/>
      </c>
      <c r="S89" t="str">
        <f>IF(A89="","",IF(VLOOKUP(B89,Players!$A:$AF,30,FALSE)&gt;=60,"Visible","Hidden/Review"))</f>
        <v/>
      </c>
    </row>
    <row r="90" spans="11:19">
      <c r="K90" t="str">
        <f t="shared" si="12"/>
        <v/>
      </c>
      <c r="L90" t="str">
        <f t="shared" si="13"/>
        <v/>
      </c>
      <c r="M90" t="str">
        <f t="shared" si="14"/>
        <v/>
      </c>
      <c r="N90">
        <v>0</v>
      </c>
      <c r="O90">
        <v>2</v>
      </c>
      <c r="P90" t="str">
        <f t="shared" si="15"/>
        <v/>
      </c>
      <c r="Q90" t="str">
        <f t="shared" si="16"/>
        <v/>
      </c>
      <c r="R90" t="str">
        <f t="shared" si="17"/>
        <v/>
      </c>
      <c r="S90" t="str">
        <f>IF(A90="","",IF(VLOOKUP(B90,Players!$A:$AF,30,FALSE)&gt;=60,"Visible","Hidden/Review"))</f>
        <v/>
      </c>
    </row>
    <row r="91" spans="11:19">
      <c r="K91" t="str">
        <f t="shared" si="12"/>
        <v/>
      </c>
      <c r="L91" t="str">
        <f t="shared" si="13"/>
        <v/>
      </c>
      <c r="M91" t="str">
        <f t="shared" si="14"/>
        <v/>
      </c>
      <c r="N91">
        <v>0</v>
      </c>
      <c r="O91">
        <v>2</v>
      </c>
      <c r="P91" t="str">
        <f t="shared" si="15"/>
        <v/>
      </c>
      <c r="Q91" t="str">
        <f t="shared" si="16"/>
        <v/>
      </c>
      <c r="R91" t="str">
        <f t="shared" si="17"/>
        <v/>
      </c>
      <c r="S91" t="str">
        <f>IF(A91="","",IF(VLOOKUP(B91,Players!$A:$AF,30,FALSE)&gt;=60,"Visible","Hidden/Review"))</f>
        <v/>
      </c>
    </row>
    <row r="92" spans="11:19">
      <c r="K92" t="str">
        <f t="shared" si="12"/>
        <v/>
      </c>
      <c r="L92" t="str">
        <f t="shared" si="13"/>
        <v/>
      </c>
      <c r="M92" t="str">
        <f t="shared" si="14"/>
        <v/>
      </c>
      <c r="N92">
        <v>0</v>
      </c>
      <c r="O92">
        <v>2</v>
      </c>
      <c r="P92" t="str">
        <f t="shared" si="15"/>
        <v/>
      </c>
      <c r="Q92" t="str">
        <f t="shared" si="16"/>
        <v/>
      </c>
      <c r="R92" t="str">
        <f t="shared" si="17"/>
        <v/>
      </c>
      <c r="S92" t="str">
        <f>IF(A92="","",IF(VLOOKUP(B92,Players!$A:$AF,30,FALSE)&gt;=60,"Visible","Hidden/Review"))</f>
        <v/>
      </c>
    </row>
    <row r="93" spans="11:19">
      <c r="K93" t="str">
        <f t="shared" si="12"/>
        <v/>
      </c>
      <c r="L93" t="str">
        <f t="shared" si="13"/>
        <v/>
      </c>
      <c r="M93" t="str">
        <f t="shared" si="14"/>
        <v/>
      </c>
      <c r="N93">
        <v>0</v>
      </c>
      <c r="O93">
        <v>2</v>
      </c>
      <c r="P93" t="str">
        <f t="shared" si="15"/>
        <v/>
      </c>
      <c r="Q93" t="str">
        <f t="shared" si="16"/>
        <v/>
      </c>
      <c r="R93" t="str">
        <f t="shared" si="17"/>
        <v/>
      </c>
      <c r="S93" t="str">
        <f>IF(A93="","",IF(VLOOKUP(B93,Players!$A:$AF,30,FALSE)&gt;=60,"Visible","Hidden/Review"))</f>
        <v/>
      </c>
    </row>
    <row r="94" spans="11:19">
      <c r="K94" t="str">
        <f t="shared" si="12"/>
        <v/>
      </c>
      <c r="L94" t="str">
        <f t="shared" si="13"/>
        <v/>
      </c>
      <c r="M94" t="str">
        <f t="shared" si="14"/>
        <v/>
      </c>
      <c r="N94">
        <v>0</v>
      </c>
      <c r="O94">
        <v>2</v>
      </c>
      <c r="P94" t="str">
        <f t="shared" si="15"/>
        <v/>
      </c>
      <c r="Q94" t="str">
        <f t="shared" si="16"/>
        <v/>
      </c>
      <c r="R94" t="str">
        <f t="shared" si="17"/>
        <v/>
      </c>
      <c r="S94" t="str">
        <f>IF(A94="","",IF(VLOOKUP(B94,Players!$A:$AF,30,FALSE)&gt;=60,"Visible","Hidden/Review"))</f>
        <v/>
      </c>
    </row>
    <row r="95" spans="11:19">
      <c r="K95" t="str">
        <f t="shared" si="12"/>
        <v/>
      </c>
      <c r="L95" t="str">
        <f t="shared" si="13"/>
        <v/>
      </c>
      <c r="M95" t="str">
        <f t="shared" si="14"/>
        <v/>
      </c>
      <c r="N95">
        <v>0</v>
      </c>
      <c r="O95">
        <v>2</v>
      </c>
      <c r="P95" t="str">
        <f t="shared" si="15"/>
        <v/>
      </c>
      <c r="Q95" t="str">
        <f t="shared" si="16"/>
        <v/>
      </c>
      <c r="R95" t="str">
        <f t="shared" si="17"/>
        <v/>
      </c>
      <c r="S95" t="str">
        <f>IF(A95="","",IF(VLOOKUP(B95,Players!$A:$AF,30,FALSE)&gt;=60,"Visible","Hidden/Review"))</f>
        <v/>
      </c>
    </row>
    <row r="96" spans="11:19">
      <c r="K96" t="str">
        <f t="shared" si="12"/>
        <v/>
      </c>
      <c r="L96" t="str">
        <f t="shared" si="13"/>
        <v/>
      </c>
      <c r="M96" t="str">
        <f t="shared" si="14"/>
        <v/>
      </c>
      <c r="N96">
        <v>0</v>
      </c>
      <c r="O96">
        <v>2</v>
      </c>
      <c r="P96" t="str">
        <f t="shared" si="15"/>
        <v/>
      </c>
      <c r="Q96" t="str">
        <f t="shared" si="16"/>
        <v/>
      </c>
      <c r="R96" t="str">
        <f t="shared" si="17"/>
        <v/>
      </c>
      <c r="S96" t="str">
        <f>IF(A96="","",IF(VLOOKUP(B96,Players!$A:$AF,30,FALSE)&gt;=60,"Visible","Hidden/Review"))</f>
        <v/>
      </c>
    </row>
    <row r="97" spans="11:19">
      <c r="K97" t="str">
        <f t="shared" si="12"/>
        <v/>
      </c>
      <c r="L97" t="str">
        <f t="shared" si="13"/>
        <v/>
      </c>
      <c r="M97" t="str">
        <f t="shared" si="14"/>
        <v/>
      </c>
      <c r="N97">
        <v>0</v>
      </c>
      <c r="O97">
        <v>2</v>
      </c>
      <c r="P97" t="str">
        <f t="shared" si="15"/>
        <v/>
      </c>
      <c r="Q97" t="str">
        <f t="shared" si="16"/>
        <v/>
      </c>
      <c r="R97" t="str">
        <f t="shared" si="17"/>
        <v/>
      </c>
      <c r="S97" t="str">
        <f>IF(A97="","",IF(VLOOKUP(B97,Players!$A:$AF,30,FALSE)&gt;=60,"Visible","Hidden/Review"))</f>
        <v/>
      </c>
    </row>
    <row r="98" spans="11:19">
      <c r="K98" t="str">
        <f t="shared" si="12"/>
        <v/>
      </c>
      <c r="L98" t="str">
        <f t="shared" si="13"/>
        <v/>
      </c>
      <c r="M98" t="str">
        <f t="shared" si="14"/>
        <v/>
      </c>
      <c r="N98">
        <v>0</v>
      </c>
      <c r="O98">
        <v>2</v>
      </c>
      <c r="P98" t="str">
        <f t="shared" si="15"/>
        <v/>
      </c>
      <c r="Q98" t="str">
        <f t="shared" si="16"/>
        <v/>
      </c>
      <c r="R98" t="str">
        <f t="shared" si="17"/>
        <v/>
      </c>
      <c r="S98" t="str">
        <f>IF(A98="","",IF(VLOOKUP(B98,Players!$A:$AF,30,FALSE)&gt;=60,"Visible","Hidden/Review"))</f>
        <v/>
      </c>
    </row>
    <row r="99" spans="11:19">
      <c r="K99" t="str">
        <f t="shared" si="12"/>
        <v/>
      </c>
      <c r="L99" t="str">
        <f t="shared" si="13"/>
        <v/>
      </c>
      <c r="M99" t="str">
        <f t="shared" si="14"/>
        <v/>
      </c>
      <c r="N99">
        <v>0</v>
      </c>
      <c r="O99">
        <v>2</v>
      </c>
      <c r="P99" t="str">
        <f t="shared" si="15"/>
        <v/>
      </c>
      <c r="Q99" t="str">
        <f t="shared" si="16"/>
        <v/>
      </c>
      <c r="R99" t="str">
        <f t="shared" si="17"/>
        <v/>
      </c>
      <c r="S99" t="str">
        <f>IF(A99="","",IF(VLOOKUP(B99,Players!$A:$AF,30,FALSE)&gt;=60,"Visible","Hidden/Review"))</f>
        <v/>
      </c>
    </row>
    <row r="100" spans="11:19">
      <c r="K100" t="str">
        <f t="shared" si="12"/>
        <v/>
      </c>
      <c r="L100" t="str">
        <f t="shared" si="13"/>
        <v/>
      </c>
      <c r="M100" t="str">
        <f t="shared" si="14"/>
        <v/>
      </c>
      <c r="N100">
        <v>0</v>
      </c>
      <c r="O100">
        <v>2</v>
      </c>
      <c r="P100" t="str">
        <f t="shared" si="15"/>
        <v/>
      </c>
      <c r="Q100" t="str">
        <f t="shared" si="16"/>
        <v/>
      </c>
      <c r="R100" t="str">
        <f t="shared" si="17"/>
        <v/>
      </c>
      <c r="S100" t="str">
        <f>IF(A100="","",IF(VLOOKUP(B100,Players!$A:$AF,30,FALSE)&gt;=60,"Visible","Hidden/Review"))</f>
        <v/>
      </c>
    </row>
    <row r="101" spans="11:19">
      <c r="K101" t="str">
        <f t="shared" ref="K101:K132" si="18">IF(A101="","",G101*1)</f>
        <v/>
      </c>
      <c r="L101" t="str">
        <f t="shared" ref="L101:L132" si="19">IF(A101="","",H101*3)</f>
        <v/>
      </c>
      <c r="M101" t="str">
        <f t="shared" ref="M101:M132" si="20">IF(A101="","",I101*1)</f>
        <v/>
      </c>
      <c r="N101">
        <v>0</v>
      </c>
      <c r="O101">
        <v>2</v>
      </c>
      <c r="P101" t="str">
        <f t="shared" ref="P101:P132" si="21">IF(A101="","",K101+L101+M101+N101+O101)</f>
        <v/>
      </c>
      <c r="Q101" t="str">
        <f t="shared" ref="Q101:Q132" si="22">IF(A101="","",IF(G101=0,0,H101/G101))</f>
        <v/>
      </c>
      <c r="R101" t="str">
        <f t="shared" ref="R101:R132" si="23">IF(A101="","",1+COUNTIF($P$5:$P$200,"&gt;"&amp;P101))</f>
        <v/>
      </c>
      <c r="S101" t="str">
        <f>IF(A101="","",IF(VLOOKUP(B101,Players!$A:$AF,30,FALSE)&gt;=60,"Visible","Hidden/Review"))</f>
        <v/>
      </c>
    </row>
    <row r="102" spans="11:19">
      <c r="K102" t="str">
        <f t="shared" si="18"/>
        <v/>
      </c>
      <c r="L102" t="str">
        <f t="shared" si="19"/>
        <v/>
      </c>
      <c r="M102" t="str">
        <f t="shared" si="20"/>
        <v/>
      </c>
      <c r="N102">
        <v>0</v>
      </c>
      <c r="O102">
        <v>2</v>
      </c>
      <c r="P102" t="str">
        <f t="shared" si="21"/>
        <v/>
      </c>
      <c r="Q102" t="str">
        <f t="shared" si="22"/>
        <v/>
      </c>
      <c r="R102" t="str">
        <f t="shared" si="23"/>
        <v/>
      </c>
      <c r="S102" t="str">
        <f>IF(A102="","",IF(VLOOKUP(B102,Players!$A:$AF,30,FALSE)&gt;=60,"Visible","Hidden/Review"))</f>
        <v/>
      </c>
    </row>
    <row r="103" spans="11:19">
      <c r="K103" t="str">
        <f t="shared" si="18"/>
        <v/>
      </c>
      <c r="L103" t="str">
        <f t="shared" si="19"/>
        <v/>
      </c>
      <c r="M103" t="str">
        <f t="shared" si="20"/>
        <v/>
      </c>
      <c r="N103">
        <v>0</v>
      </c>
      <c r="O103">
        <v>2</v>
      </c>
      <c r="P103" t="str">
        <f t="shared" si="21"/>
        <v/>
      </c>
      <c r="Q103" t="str">
        <f t="shared" si="22"/>
        <v/>
      </c>
      <c r="R103" t="str">
        <f t="shared" si="23"/>
        <v/>
      </c>
      <c r="S103" t="str">
        <f>IF(A103="","",IF(VLOOKUP(B103,Players!$A:$AF,30,FALSE)&gt;=60,"Visible","Hidden/Review"))</f>
        <v/>
      </c>
    </row>
    <row r="104" spans="11:19">
      <c r="K104" t="str">
        <f t="shared" si="18"/>
        <v/>
      </c>
      <c r="L104" t="str">
        <f t="shared" si="19"/>
        <v/>
      </c>
      <c r="M104" t="str">
        <f t="shared" si="20"/>
        <v/>
      </c>
      <c r="N104">
        <v>0</v>
      </c>
      <c r="O104">
        <v>2</v>
      </c>
      <c r="P104" t="str">
        <f t="shared" si="21"/>
        <v/>
      </c>
      <c r="Q104" t="str">
        <f t="shared" si="22"/>
        <v/>
      </c>
      <c r="R104" t="str">
        <f t="shared" si="23"/>
        <v/>
      </c>
      <c r="S104" t="str">
        <f>IF(A104="","",IF(VLOOKUP(B104,Players!$A:$AF,30,FALSE)&gt;=60,"Visible","Hidden/Review"))</f>
        <v/>
      </c>
    </row>
    <row r="105" spans="11:19">
      <c r="K105" t="str">
        <f t="shared" si="18"/>
        <v/>
      </c>
      <c r="L105" t="str">
        <f t="shared" si="19"/>
        <v/>
      </c>
      <c r="M105" t="str">
        <f t="shared" si="20"/>
        <v/>
      </c>
      <c r="N105">
        <v>0</v>
      </c>
      <c r="O105">
        <v>2</v>
      </c>
      <c r="P105" t="str">
        <f t="shared" si="21"/>
        <v/>
      </c>
      <c r="Q105" t="str">
        <f t="shared" si="22"/>
        <v/>
      </c>
      <c r="R105" t="str">
        <f t="shared" si="23"/>
        <v/>
      </c>
      <c r="S105" t="str">
        <f>IF(A105="","",IF(VLOOKUP(B105,Players!$A:$AF,30,FALSE)&gt;=60,"Visible","Hidden/Review"))</f>
        <v/>
      </c>
    </row>
    <row r="106" spans="11:19">
      <c r="K106" t="str">
        <f t="shared" si="18"/>
        <v/>
      </c>
      <c r="L106" t="str">
        <f t="shared" si="19"/>
        <v/>
      </c>
      <c r="M106" t="str">
        <f t="shared" si="20"/>
        <v/>
      </c>
      <c r="N106">
        <v>0</v>
      </c>
      <c r="O106">
        <v>2</v>
      </c>
      <c r="P106" t="str">
        <f t="shared" si="21"/>
        <v/>
      </c>
      <c r="Q106" t="str">
        <f t="shared" si="22"/>
        <v/>
      </c>
      <c r="R106" t="str">
        <f t="shared" si="23"/>
        <v/>
      </c>
      <c r="S106" t="str">
        <f>IF(A106="","",IF(VLOOKUP(B106,Players!$A:$AF,30,FALSE)&gt;=60,"Visible","Hidden/Review"))</f>
        <v/>
      </c>
    </row>
    <row r="107" spans="11:19">
      <c r="K107" t="str">
        <f t="shared" si="18"/>
        <v/>
      </c>
      <c r="L107" t="str">
        <f t="shared" si="19"/>
        <v/>
      </c>
      <c r="M107" t="str">
        <f t="shared" si="20"/>
        <v/>
      </c>
      <c r="N107">
        <v>0</v>
      </c>
      <c r="O107">
        <v>2</v>
      </c>
      <c r="P107" t="str">
        <f t="shared" si="21"/>
        <v/>
      </c>
      <c r="Q107" t="str">
        <f t="shared" si="22"/>
        <v/>
      </c>
      <c r="R107" t="str">
        <f t="shared" si="23"/>
        <v/>
      </c>
      <c r="S107" t="str">
        <f>IF(A107="","",IF(VLOOKUP(B107,Players!$A:$AF,30,FALSE)&gt;=60,"Visible","Hidden/Review"))</f>
        <v/>
      </c>
    </row>
    <row r="108" spans="11:19">
      <c r="K108" t="str">
        <f t="shared" si="18"/>
        <v/>
      </c>
      <c r="L108" t="str">
        <f t="shared" si="19"/>
        <v/>
      </c>
      <c r="M108" t="str">
        <f t="shared" si="20"/>
        <v/>
      </c>
      <c r="N108">
        <v>0</v>
      </c>
      <c r="O108">
        <v>2</v>
      </c>
      <c r="P108" t="str">
        <f t="shared" si="21"/>
        <v/>
      </c>
      <c r="Q108" t="str">
        <f t="shared" si="22"/>
        <v/>
      </c>
      <c r="R108" t="str">
        <f t="shared" si="23"/>
        <v/>
      </c>
      <c r="S108" t="str">
        <f>IF(A108="","",IF(VLOOKUP(B108,Players!$A:$AF,30,FALSE)&gt;=60,"Visible","Hidden/Review"))</f>
        <v/>
      </c>
    </row>
    <row r="109" spans="11:19">
      <c r="K109" t="str">
        <f t="shared" si="18"/>
        <v/>
      </c>
      <c r="L109" t="str">
        <f t="shared" si="19"/>
        <v/>
      </c>
      <c r="M109" t="str">
        <f t="shared" si="20"/>
        <v/>
      </c>
      <c r="N109">
        <v>0</v>
      </c>
      <c r="O109">
        <v>2</v>
      </c>
      <c r="P109" t="str">
        <f t="shared" si="21"/>
        <v/>
      </c>
      <c r="Q109" t="str">
        <f t="shared" si="22"/>
        <v/>
      </c>
      <c r="R109" t="str">
        <f t="shared" si="23"/>
        <v/>
      </c>
      <c r="S109" t="str">
        <f>IF(A109="","",IF(VLOOKUP(B109,Players!$A:$AF,30,FALSE)&gt;=60,"Visible","Hidden/Review"))</f>
        <v/>
      </c>
    </row>
    <row r="110" spans="11:19">
      <c r="K110" t="str">
        <f t="shared" si="18"/>
        <v/>
      </c>
      <c r="L110" t="str">
        <f t="shared" si="19"/>
        <v/>
      </c>
      <c r="M110" t="str">
        <f t="shared" si="20"/>
        <v/>
      </c>
      <c r="N110">
        <v>0</v>
      </c>
      <c r="O110">
        <v>2</v>
      </c>
      <c r="P110" t="str">
        <f t="shared" si="21"/>
        <v/>
      </c>
      <c r="Q110" t="str">
        <f t="shared" si="22"/>
        <v/>
      </c>
      <c r="R110" t="str">
        <f t="shared" si="23"/>
        <v/>
      </c>
      <c r="S110" t="str">
        <f>IF(A110="","",IF(VLOOKUP(B110,Players!$A:$AF,30,FALSE)&gt;=60,"Visible","Hidden/Review"))</f>
        <v/>
      </c>
    </row>
    <row r="111" spans="11:19">
      <c r="K111" t="str">
        <f t="shared" si="18"/>
        <v/>
      </c>
      <c r="L111" t="str">
        <f t="shared" si="19"/>
        <v/>
      </c>
      <c r="M111" t="str">
        <f t="shared" si="20"/>
        <v/>
      </c>
      <c r="N111">
        <v>0</v>
      </c>
      <c r="O111">
        <v>2</v>
      </c>
      <c r="P111" t="str">
        <f t="shared" si="21"/>
        <v/>
      </c>
      <c r="Q111" t="str">
        <f t="shared" si="22"/>
        <v/>
      </c>
      <c r="R111" t="str">
        <f t="shared" si="23"/>
        <v/>
      </c>
      <c r="S111" t="str">
        <f>IF(A111="","",IF(VLOOKUP(B111,Players!$A:$AF,30,FALSE)&gt;=60,"Visible","Hidden/Review"))</f>
        <v/>
      </c>
    </row>
    <row r="112" spans="11:19">
      <c r="K112" t="str">
        <f t="shared" si="18"/>
        <v/>
      </c>
      <c r="L112" t="str">
        <f t="shared" si="19"/>
        <v/>
      </c>
      <c r="M112" t="str">
        <f t="shared" si="20"/>
        <v/>
      </c>
      <c r="N112">
        <v>0</v>
      </c>
      <c r="O112">
        <v>2</v>
      </c>
      <c r="P112" t="str">
        <f t="shared" si="21"/>
        <v/>
      </c>
      <c r="Q112" t="str">
        <f t="shared" si="22"/>
        <v/>
      </c>
      <c r="R112" t="str">
        <f t="shared" si="23"/>
        <v/>
      </c>
      <c r="S112" t="str">
        <f>IF(A112="","",IF(VLOOKUP(B112,Players!$A:$AF,30,FALSE)&gt;=60,"Visible","Hidden/Review"))</f>
        <v/>
      </c>
    </row>
    <row r="113" spans="11:19">
      <c r="K113" t="str">
        <f t="shared" si="18"/>
        <v/>
      </c>
      <c r="L113" t="str">
        <f t="shared" si="19"/>
        <v/>
      </c>
      <c r="M113" t="str">
        <f t="shared" si="20"/>
        <v/>
      </c>
      <c r="N113">
        <v>0</v>
      </c>
      <c r="O113">
        <v>2</v>
      </c>
      <c r="P113" t="str">
        <f t="shared" si="21"/>
        <v/>
      </c>
      <c r="Q113" t="str">
        <f t="shared" si="22"/>
        <v/>
      </c>
      <c r="R113" t="str">
        <f t="shared" si="23"/>
        <v/>
      </c>
      <c r="S113" t="str">
        <f>IF(A113="","",IF(VLOOKUP(B113,Players!$A:$AF,30,FALSE)&gt;=60,"Visible","Hidden/Review"))</f>
        <v/>
      </c>
    </row>
    <row r="114" spans="11:19">
      <c r="K114" t="str">
        <f t="shared" si="18"/>
        <v/>
      </c>
      <c r="L114" t="str">
        <f t="shared" si="19"/>
        <v/>
      </c>
      <c r="M114" t="str">
        <f t="shared" si="20"/>
        <v/>
      </c>
      <c r="N114">
        <v>0</v>
      </c>
      <c r="O114">
        <v>2</v>
      </c>
      <c r="P114" t="str">
        <f t="shared" si="21"/>
        <v/>
      </c>
      <c r="Q114" t="str">
        <f t="shared" si="22"/>
        <v/>
      </c>
      <c r="R114" t="str">
        <f t="shared" si="23"/>
        <v/>
      </c>
      <c r="S114" t="str">
        <f>IF(A114="","",IF(VLOOKUP(B114,Players!$A:$AF,30,FALSE)&gt;=60,"Visible","Hidden/Review"))</f>
        <v/>
      </c>
    </row>
    <row r="115" spans="11:19">
      <c r="K115" t="str">
        <f t="shared" si="18"/>
        <v/>
      </c>
      <c r="L115" t="str">
        <f t="shared" si="19"/>
        <v/>
      </c>
      <c r="M115" t="str">
        <f t="shared" si="20"/>
        <v/>
      </c>
      <c r="N115">
        <v>0</v>
      </c>
      <c r="O115">
        <v>2</v>
      </c>
      <c r="P115" t="str">
        <f t="shared" si="21"/>
        <v/>
      </c>
      <c r="Q115" t="str">
        <f t="shared" si="22"/>
        <v/>
      </c>
      <c r="R115" t="str">
        <f t="shared" si="23"/>
        <v/>
      </c>
      <c r="S115" t="str">
        <f>IF(A115="","",IF(VLOOKUP(B115,Players!$A:$AF,30,FALSE)&gt;=60,"Visible","Hidden/Review"))</f>
        <v/>
      </c>
    </row>
    <row r="116" spans="11:19">
      <c r="K116" t="str">
        <f t="shared" si="18"/>
        <v/>
      </c>
      <c r="L116" t="str">
        <f t="shared" si="19"/>
        <v/>
      </c>
      <c r="M116" t="str">
        <f t="shared" si="20"/>
        <v/>
      </c>
      <c r="N116">
        <v>0</v>
      </c>
      <c r="O116">
        <v>2</v>
      </c>
      <c r="P116" t="str">
        <f t="shared" si="21"/>
        <v/>
      </c>
      <c r="Q116" t="str">
        <f t="shared" si="22"/>
        <v/>
      </c>
      <c r="R116" t="str">
        <f t="shared" si="23"/>
        <v/>
      </c>
      <c r="S116" t="str">
        <f>IF(A116="","",IF(VLOOKUP(B116,Players!$A:$AF,30,FALSE)&gt;=60,"Visible","Hidden/Review"))</f>
        <v/>
      </c>
    </row>
    <row r="117" spans="11:19">
      <c r="K117" t="str">
        <f t="shared" si="18"/>
        <v/>
      </c>
      <c r="L117" t="str">
        <f t="shared" si="19"/>
        <v/>
      </c>
      <c r="M117" t="str">
        <f t="shared" si="20"/>
        <v/>
      </c>
      <c r="N117">
        <v>0</v>
      </c>
      <c r="O117">
        <v>2</v>
      </c>
      <c r="P117" t="str">
        <f t="shared" si="21"/>
        <v/>
      </c>
      <c r="Q117" t="str">
        <f t="shared" si="22"/>
        <v/>
      </c>
      <c r="R117" t="str">
        <f t="shared" si="23"/>
        <v/>
      </c>
      <c r="S117" t="str">
        <f>IF(A117="","",IF(VLOOKUP(B117,Players!$A:$AF,30,FALSE)&gt;=60,"Visible","Hidden/Review"))</f>
        <v/>
      </c>
    </row>
    <row r="118" spans="11:19">
      <c r="K118" t="str">
        <f t="shared" si="18"/>
        <v/>
      </c>
      <c r="L118" t="str">
        <f t="shared" si="19"/>
        <v/>
      </c>
      <c r="M118" t="str">
        <f t="shared" si="20"/>
        <v/>
      </c>
      <c r="N118">
        <v>0</v>
      </c>
      <c r="O118">
        <v>2</v>
      </c>
      <c r="P118" t="str">
        <f t="shared" si="21"/>
        <v/>
      </c>
      <c r="Q118" t="str">
        <f t="shared" si="22"/>
        <v/>
      </c>
      <c r="R118" t="str">
        <f t="shared" si="23"/>
        <v/>
      </c>
      <c r="S118" t="str">
        <f>IF(A118="","",IF(VLOOKUP(B118,Players!$A:$AF,30,FALSE)&gt;=60,"Visible","Hidden/Review"))</f>
        <v/>
      </c>
    </row>
    <row r="119" spans="11:19">
      <c r="K119" t="str">
        <f t="shared" si="18"/>
        <v/>
      </c>
      <c r="L119" t="str">
        <f t="shared" si="19"/>
        <v/>
      </c>
      <c r="M119" t="str">
        <f t="shared" si="20"/>
        <v/>
      </c>
      <c r="N119">
        <v>0</v>
      </c>
      <c r="O119">
        <v>2</v>
      </c>
      <c r="P119" t="str">
        <f t="shared" si="21"/>
        <v/>
      </c>
      <c r="Q119" t="str">
        <f t="shared" si="22"/>
        <v/>
      </c>
      <c r="R119" t="str">
        <f t="shared" si="23"/>
        <v/>
      </c>
      <c r="S119" t="str">
        <f>IF(A119="","",IF(VLOOKUP(B119,Players!$A:$AF,30,FALSE)&gt;=60,"Visible","Hidden/Review"))</f>
        <v/>
      </c>
    </row>
    <row r="120" spans="11:19">
      <c r="K120" t="str">
        <f t="shared" si="18"/>
        <v/>
      </c>
      <c r="L120" t="str">
        <f t="shared" si="19"/>
        <v/>
      </c>
      <c r="M120" t="str">
        <f t="shared" si="20"/>
        <v/>
      </c>
      <c r="N120">
        <v>0</v>
      </c>
      <c r="O120">
        <v>2</v>
      </c>
      <c r="P120" t="str">
        <f t="shared" si="21"/>
        <v/>
      </c>
      <c r="Q120" t="str">
        <f t="shared" si="22"/>
        <v/>
      </c>
      <c r="R120" t="str">
        <f t="shared" si="23"/>
        <v/>
      </c>
      <c r="S120" t="str">
        <f>IF(A120="","",IF(VLOOKUP(B120,Players!$A:$AF,30,FALSE)&gt;=60,"Visible","Hidden/Review"))</f>
        <v/>
      </c>
    </row>
    <row r="121" spans="11:19">
      <c r="K121" t="str">
        <f t="shared" si="18"/>
        <v/>
      </c>
      <c r="L121" t="str">
        <f t="shared" si="19"/>
        <v/>
      </c>
      <c r="M121" t="str">
        <f t="shared" si="20"/>
        <v/>
      </c>
      <c r="N121">
        <v>0</v>
      </c>
      <c r="O121">
        <v>2</v>
      </c>
      <c r="P121" t="str">
        <f t="shared" si="21"/>
        <v/>
      </c>
      <c r="Q121" t="str">
        <f t="shared" si="22"/>
        <v/>
      </c>
      <c r="R121" t="str">
        <f t="shared" si="23"/>
        <v/>
      </c>
      <c r="S121" t="str">
        <f>IF(A121="","",IF(VLOOKUP(B121,Players!$A:$AF,30,FALSE)&gt;=60,"Visible","Hidden/Review"))</f>
        <v/>
      </c>
    </row>
    <row r="122" spans="11:19">
      <c r="K122" t="str">
        <f t="shared" si="18"/>
        <v/>
      </c>
      <c r="L122" t="str">
        <f t="shared" si="19"/>
        <v/>
      </c>
      <c r="M122" t="str">
        <f t="shared" si="20"/>
        <v/>
      </c>
      <c r="N122">
        <v>0</v>
      </c>
      <c r="O122">
        <v>2</v>
      </c>
      <c r="P122" t="str">
        <f t="shared" si="21"/>
        <v/>
      </c>
      <c r="Q122" t="str">
        <f t="shared" si="22"/>
        <v/>
      </c>
      <c r="R122" t="str">
        <f t="shared" si="23"/>
        <v/>
      </c>
      <c r="S122" t="str">
        <f>IF(A122="","",IF(VLOOKUP(B122,Players!$A:$AF,30,FALSE)&gt;=60,"Visible","Hidden/Review"))</f>
        <v/>
      </c>
    </row>
    <row r="123" spans="11:19">
      <c r="K123" t="str">
        <f t="shared" si="18"/>
        <v/>
      </c>
      <c r="L123" t="str">
        <f t="shared" si="19"/>
        <v/>
      </c>
      <c r="M123" t="str">
        <f t="shared" si="20"/>
        <v/>
      </c>
      <c r="N123">
        <v>0</v>
      </c>
      <c r="O123">
        <v>2</v>
      </c>
      <c r="P123" t="str">
        <f t="shared" si="21"/>
        <v/>
      </c>
      <c r="Q123" t="str">
        <f t="shared" si="22"/>
        <v/>
      </c>
      <c r="R123" t="str">
        <f t="shared" si="23"/>
        <v/>
      </c>
      <c r="S123" t="str">
        <f>IF(A123="","",IF(VLOOKUP(B123,Players!$A:$AF,30,FALSE)&gt;=60,"Visible","Hidden/Review"))</f>
        <v/>
      </c>
    </row>
    <row r="124" spans="11:19">
      <c r="K124" t="str">
        <f t="shared" si="18"/>
        <v/>
      </c>
      <c r="L124" t="str">
        <f t="shared" si="19"/>
        <v/>
      </c>
      <c r="M124" t="str">
        <f t="shared" si="20"/>
        <v/>
      </c>
      <c r="N124">
        <v>0</v>
      </c>
      <c r="O124">
        <v>2</v>
      </c>
      <c r="P124" t="str">
        <f t="shared" si="21"/>
        <v/>
      </c>
      <c r="Q124" t="str">
        <f t="shared" si="22"/>
        <v/>
      </c>
      <c r="R124" t="str">
        <f t="shared" si="23"/>
        <v/>
      </c>
      <c r="S124" t="str">
        <f>IF(A124="","",IF(VLOOKUP(B124,Players!$A:$AF,30,FALSE)&gt;=60,"Visible","Hidden/Review"))</f>
        <v/>
      </c>
    </row>
    <row r="125" spans="11:19">
      <c r="K125" t="str">
        <f t="shared" si="18"/>
        <v/>
      </c>
      <c r="L125" t="str">
        <f t="shared" si="19"/>
        <v/>
      </c>
      <c r="M125" t="str">
        <f t="shared" si="20"/>
        <v/>
      </c>
      <c r="N125">
        <v>0</v>
      </c>
      <c r="O125">
        <v>2</v>
      </c>
      <c r="P125" t="str">
        <f t="shared" si="21"/>
        <v/>
      </c>
      <c r="Q125" t="str">
        <f t="shared" si="22"/>
        <v/>
      </c>
      <c r="R125" t="str">
        <f t="shared" si="23"/>
        <v/>
      </c>
      <c r="S125" t="str">
        <f>IF(A125="","",IF(VLOOKUP(B125,Players!$A:$AF,30,FALSE)&gt;=60,"Visible","Hidden/Review"))</f>
        <v/>
      </c>
    </row>
    <row r="126" spans="11:19">
      <c r="K126" t="str">
        <f t="shared" si="18"/>
        <v/>
      </c>
      <c r="L126" t="str">
        <f t="shared" si="19"/>
        <v/>
      </c>
      <c r="M126" t="str">
        <f t="shared" si="20"/>
        <v/>
      </c>
      <c r="N126">
        <v>0</v>
      </c>
      <c r="O126">
        <v>2</v>
      </c>
      <c r="P126" t="str">
        <f t="shared" si="21"/>
        <v/>
      </c>
      <c r="Q126" t="str">
        <f t="shared" si="22"/>
        <v/>
      </c>
      <c r="R126" t="str">
        <f t="shared" si="23"/>
        <v/>
      </c>
      <c r="S126" t="str">
        <f>IF(A126="","",IF(VLOOKUP(B126,Players!$A:$AF,30,FALSE)&gt;=60,"Visible","Hidden/Review"))</f>
        <v/>
      </c>
    </row>
    <row r="127" spans="11:19">
      <c r="K127" t="str">
        <f t="shared" si="18"/>
        <v/>
      </c>
      <c r="L127" t="str">
        <f t="shared" si="19"/>
        <v/>
      </c>
      <c r="M127" t="str">
        <f t="shared" si="20"/>
        <v/>
      </c>
      <c r="N127">
        <v>0</v>
      </c>
      <c r="O127">
        <v>2</v>
      </c>
      <c r="P127" t="str">
        <f t="shared" si="21"/>
        <v/>
      </c>
      <c r="Q127" t="str">
        <f t="shared" si="22"/>
        <v/>
      </c>
      <c r="R127" t="str">
        <f t="shared" si="23"/>
        <v/>
      </c>
      <c r="S127" t="str">
        <f>IF(A127="","",IF(VLOOKUP(B127,Players!$A:$AF,30,FALSE)&gt;=60,"Visible","Hidden/Review"))</f>
        <v/>
      </c>
    </row>
    <row r="128" spans="11:19">
      <c r="K128" t="str">
        <f t="shared" si="18"/>
        <v/>
      </c>
      <c r="L128" t="str">
        <f t="shared" si="19"/>
        <v/>
      </c>
      <c r="M128" t="str">
        <f t="shared" si="20"/>
        <v/>
      </c>
      <c r="N128">
        <v>0</v>
      </c>
      <c r="O128">
        <v>2</v>
      </c>
      <c r="P128" t="str">
        <f t="shared" si="21"/>
        <v/>
      </c>
      <c r="Q128" t="str">
        <f t="shared" si="22"/>
        <v/>
      </c>
      <c r="R128" t="str">
        <f t="shared" si="23"/>
        <v/>
      </c>
      <c r="S128" t="str">
        <f>IF(A128="","",IF(VLOOKUP(B128,Players!$A:$AF,30,FALSE)&gt;=60,"Visible","Hidden/Review"))</f>
        <v/>
      </c>
    </row>
    <row r="129" spans="11:19">
      <c r="K129" t="str">
        <f t="shared" si="18"/>
        <v/>
      </c>
      <c r="L129" t="str">
        <f t="shared" si="19"/>
        <v/>
      </c>
      <c r="M129" t="str">
        <f t="shared" si="20"/>
        <v/>
      </c>
      <c r="N129">
        <v>0</v>
      </c>
      <c r="O129">
        <v>2</v>
      </c>
      <c r="P129" t="str">
        <f t="shared" si="21"/>
        <v/>
      </c>
      <c r="Q129" t="str">
        <f t="shared" si="22"/>
        <v/>
      </c>
      <c r="R129" t="str">
        <f t="shared" si="23"/>
        <v/>
      </c>
      <c r="S129" t="str">
        <f>IF(A129="","",IF(VLOOKUP(B129,Players!$A:$AF,30,FALSE)&gt;=60,"Visible","Hidden/Review"))</f>
        <v/>
      </c>
    </row>
    <row r="130" spans="11:19">
      <c r="K130" t="str">
        <f t="shared" si="18"/>
        <v/>
      </c>
      <c r="L130" t="str">
        <f t="shared" si="19"/>
        <v/>
      </c>
      <c r="M130" t="str">
        <f t="shared" si="20"/>
        <v/>
      </c>
      <c r="N130">
        <v>0</v>
      </c>
      <c r="O130">
        <v>2</v>
      </c>
      <c r="P130" t="str">
        <f t="shared" si="21"/>
        <v/>
      </c>
      <c r="Q130" t="str">
        <f t="shared" si="22"/>
        <v/>
      </c>
      <c r="R130" t="str">
        <f t="shared" si="23"/>
        <v/>
      </c>
      <c r="S130" t="str">
        <f>IF(A130="","",IF(VLOOKUP(B130,Players!$A:$AF,30,FALSE)&gt;=60,"Visible","Hidden/Review"))</f>
        <v/>
      </c>
    </row>
    <row r="131" spans="11:19">
      <c r="K131" t="str">
        <f t="shared" si="18"/>
        <v/>
      </c>
      <c r="L131" t="str">
        <f t="shared" si="19"/>
        <v/>
      </c>
      <c r="M131" t="str">
        <f t="shared" si="20"/>
        <v/>
      </c>
      <c r="N131">
        <v>0</v>
      </c>
      <c r="O131">
        <v>2</v>
      </c>
      <c r="P131" t="str">
        <f t="shared" si="21"/>
        <v/>
      </c>
      <c r="Q131" t="str">
        <f t="shared" si="22"/>
        <v/>
      </c>
      <c r="R131" t="str">
        <f t="shared" si="23"/>
        <v/>
      </c>
      <c r="S131" t="str">
        <f>IF(A131="","",IF(VLOOKUP(B131,Players!$A:$AF,30,FALSE)&gt;=60,"Visible","Hidden/Review"))</f>
        <v/>
      </c>
    </row>
    <row r="132" spans="11:19">
      <c r="K132" t="str">
        <f t="shared" si="18"/>
        <v/>
      </c>
      <c r="L132" t="str">
        <f t="shared" si="19"/>
        <v/>
      </c>
      <c r="M132" t="str">
        <f t="shared" si="20"/>
        <v/>
      </c>
      <c r="N132">
        <v>0</v>
      </c>
      <c r="O132">
        <v>2</v>
      </c>
      <c r="P132" t="str">
        <f t="shared" si="21"/>
        <v/>
      </c>
      <c r="Q132" t="str">
        <f t="shared" si="22"/>
        <v/>
      </c>
      <c r="R132" t="str">
        <f t="shared" si="23"/>
        <v/>
      </c>
      <c r="S132" t="str">
        <f>IF(A132="","",IF(VLOOKUP(B132,Players!$A:$AF,30,FALSE)&gt;=60,"Visible","Hidden/Review"))</f>
        <v/>
      </c>
    </row>
    <row r="133" spans="11:19">
      <c r="K133" t="str">
        <f t="shared" ref="K133:K164" si="24">IF(A133="","",G133*1)</f>
        <v/>
      </c>
      <c r="L133" t="str">
        <f t="shared" ref="L133:L164" si="25">IF(A133="","",H133*3)</f>
        <v/>
      </c>
      <c r="M133" t="str">
        <f t="shared" ref="M133:M164" si="26">IF(A133="","",I133*1)</f>
        <v/>
      </c>
      <c r="N133">
        <v>0</v>
      </c>
      <c r="O133">
        <v>2</v>
      </c>
      <c r="P133" t="str">
        <f t="shared" ref="P133:P164" si="27">IF(A133="","",K133+L133+M133+N133+O133)</f>
        <v/>
      </c>
      <c r="Q133" t="str">
        <f t="shared" ref="Q133:Q164" si="28">IF(A133="","",IF(G133=0,0,H133/G133))</f>
        <v/>
      </c>
      <c r="R133" t="str">
        <f t="shared" ref="R133:R164" si="29">IF(A133="","",1+COUNTIF($P$5:$P$200,"&gt;"&amp;P133))</f>
        <v/>
      </c>
      <c r="S133" t="str">
        <f>IF(A133="","",IF(VLOOKUP(B133,Players!$A:$AF,30,FALSE)&gt;=60,"Visible","Hidden/Review"))</f>
        <v/>
      </c>
    </row>
    <row r="134" spans="11:19">
      <c r="K134" t="str">
        <f t="shared" si="24"/>
        <v/>
      </c>
      <c r="L134" t="str">
        <f t="shared" si="25"/>
        <v/>
      </c>
      <c r="M134" t="str">
        <f t="shared" si="26"/>
        <v/>
      </c>
      <c r="N134">
        <v>0</v>
      </c>
      <c r="O134">
        <v>2</v>
      </c>
      <c r="P134" t="str">
        <f t="shared" si="27"/>
        <v/>
      </c>
      <c r="Q134" t="str">
        <f t="shared" si="28"/>
        <v/>
      </c>
      <c r="R134" t="str">
        <f t="shared" si="29"/>
        <v/>
      </c>
      <c r="S134" t="str">
        <f>IF(A134="","",IF(VLOOKUP(B134,Players!$A:$AF,30,FALSE)&gt;=60,"Visible","Hidden/Review"))</f>
        <v/>
      </c>
    </row>
    <row r="135" spans="11:19">
      <c r="K135" t="str">
        <f t="shared" si="24"/>
        <v/>
      </c>
      <c r="L135" t="str">
        <f t="shared" si="25"/>
        <v/>
      </c>
      <c r="M135" t="str">
        <f t="shared" si="26"/>
        <v/>
      </c>
      <c r="N135">
        <v>0</v>
      </c>
      <c r="O135">
        <v>2</v>
      </c>
      <c r="P135" t="str">
        <f t="shared" si="27"/>
        <v/>
      </c>
      <c r="Q135" t="str">
        <f t="shared" si="28"/>
        <v/>
      </c>
      <c r="R135" t="str">
        <f t="shared" si="29"/>
        <v/>
      </c>
      <c r="S135" t="str">
        <f>IF(A135="","",IF(VLOOKUP(B135,Players!$A:$AF,30,FALSE)&gt;=60,"Visible","Hidden/Review"))</f>
        <v/>
      </c>
    </row>
    <row r="136" spans="11:19">
      <c r="K136" t="str">
        <f t="shared" si="24"/>
        <v/>
      </c>
      <c r="L136" t="str">
        <f t="shared" si="25"/>
        <v/>
      </c>
      <c r="M136" t="str">
        <f t="shared" si="26"/>
        <v/>
      </c>
      <c r="N136">
        <v>0</v>
      </c>
      <c r="O136">
        <v>2</v>
      </c>
      <c r="P136" t="str">
        <f t="shared" si="27"/>
        <v/>
      </c>
      <c r="Q136" t="str">
        <f t="shared" si="28"/>
        <v/>
      </c>
      <c r="R136" t="str">
        <f t="shared" si="29"/>
        <v/>
      </c>
      <c r="S136" t="str">
        <f>IF(A136="","",IF(VLOOKUP(B136,Players!$A:$AF,30,FALSE)&gt;=60,"Visible","Hidden/Review"))</f>
        <v/>
      </c>
    </row>
    <row r="137" spans="11:19">
      <c r="K137" t="str">
        <f t="shared" si="24"/>
        <v/>
      </c>
      <c r="L137" t="str">
        <f t="shared" si="25"/>
        <v/>
      </c>
      <c r="M137" t="str">
        <f t="shared" si="26"/>
        <v/>
      </c>
      <c r="N137">
        <v>0</v>
      </c>
      <c r="O137">
        <v>2</v>
      </c>
      <c r="P137" t="str">
        <f t="shared" si="27"/>
        <v/>
      </c>
      <c r="Q137" t="str">
        <f t="shared" si="28"/>
        <v/>
      </c>
      <c r="R137" t="str">
        <f t="shared" si="29"/>
        <v/>
      </c>
      <c r="S137" t="str">
        <f>IF(A137="","",IF(VLOOKUP(B137,Players!$A:$AF,30,FALSE)&gt;=60,"Visible","Hidden/Review"))</f>
        <v/>
      </c>
    </row>
    <row r="138" spans="11:19">
      <c r="K138" t="str">
        <f t="shared" si="24"/>
        <v/>
      </c>
      <c r="L138" t="str">
        <f t="shared" si="25"/>
        <v/>
      </c>
      <c r="M138" t="str">
        <f t="shared" si="26"/>
        <v/>
      </c>
      <c r="N138">
        <v>0</v>
      </c>
      <c r="O138">
        <v>2</v>
      </c>
      <c r="P138" t="str">
        <f t="shared" si="27"/>
        <v/>
      </c>
      <c r="Q138" t="str">
        <f t="shared" si="28"/>
        <v/>
      </c>
      <c r="R138" t="str">
        <f t="shared" si="29"/>
        <v/>
      </c>
      <c r="S138" t="str">
        <f>IF(A138="","",IF(VLOOKUP(B138,Players!$A:$AF,30,FALSE)&gt;=60,"Visible","Hidden/Review"))</f>
        <v/>
      </c>
    </row>
    <row r="139" spans="11:19">
      <c r="K139" t="str">
        <f t="shared" si="24"/>
        <v/>
      </c>
      <c r="L139" t="str">
        <f t="shared" si="25"/>
        <v/>
      </c>
      <c r="M139" t="str">
        <f t="shared" si="26"/>
        <v/>
      </c>
      <c r="N139">
        <v>0</v>
      </c>
      <c r="O139">
        <v>2</v>
      </c>
      <c r="P139" t="str">
        <f t="shared" si="27"/>
        <v/>
      </c>
      <c r="Q139" t="str">
        <f t="shared" si="28"/>
        <v/>
      </c>
      <c r="R139" t="str">
        <f t="shared" si="29"/>
        <v/>
      </c>
      <c r="S139" t="str">
        <f>IF(A139="","",IF(VLOOKUP(B139,Players!$A:$AF,30,FALSE)&gt;=60,"Visible","Hidden/Review"))</f>
        <v/>
      </c>
    </row>
    <row r="140" spans="11:19">
      <c r="K140" t="str">
        <f t="shared" si="24"/>
        <v/>
      </c>
      <c r="L140" t="str">
        <f t="shared" si="25"/>
        <v/>
      </c>
      <c r="M140" t="str">
        <f t="shared" si="26"/>
        <v/>
      </c>
      <c r="N140">
        <v>0</v>
      </c>
      <c r="O140">
        <v>2</v>
      </c>
      <c r="P140" t="str">
        <f t="shared" si="27"/>
        <v/>
      </c>
      <c r="Q140" t="str">
        <f t="shared" si="28"/>
        <v/>
      </c>
      <c r="R140" t="str">
        <f t="shared" si="29"/>
        <v/>
      </c>
      <c r="S140" t="str">
        <f>IF(A140="","",IF(VLOOKUP(B140,Players!$A:$AF,30,FALSE)&gt;=60,"Visible","Hidden/Review"))</f>
        <v/>
      </c>
    </row>
    <row r="141" spans="11:19">
      <c r="K141" t="str">
        <f t="shared" si="24"/>
        <v/>
      </c>
      <c r="L141" t="str">
        <f t="shared" si="25"/>
        <v/>
      </c>
      <c r="M141" t="str">
        <f t="shared" si="26"/>
        <v/>
      </c>
      <c r="N141">
        <v>0</v>
      </c>
      <c r="O141">
        <v>2</v>
      </c>
      <c r="P141" t="str">
        <f t="shared" si="27"/>
        <v/>
      </c>
      <c r="Q141" t="str">
        <f t="shared" si="28"/>
        <v/>
      </c>
      <c r="R141" t="str">
        <f t="shared" si="29"/>
        <v/>
      </c>
      <c r="S141" t="str">
        <f>IF(A141="","",IF(VLOOKUP(B141,Players!$A:$AF,30,FALSE)&gt;=60,"Visible","Hidden/Review"))</f>
        <v/>
      </c>
    </row>
    <row r="142" spans="11:19">
      <c r="K142" t="str">
        <f t="shared" si="24"/>
        <v/>
      </c>
      <c r="L142" t="str">
        <f t="shared" si="25"/>
        <v/>
      </c>
      <c r="M142" t="str">
        <f t="shared" si="26"/>
        <v/>
      </c>
      <c r="N142">
        <v>0</v>
      </c>
      <c r="O142">
        <v>2</v>
      </c>
      <c r="P142" t="str">
        <f t="shared" si="27"/>
        <v/>
      </c>
      <c r="Q142" t="str">
        <f t="shared" si="28"/>
        <v/>
      </c>
      <c r="R142" t="str">
        <f t="shared" si="29"/>
        <v/>
      </c>
      <c r="S142" t="str">
        <f>IF(A142="","",IF(VLOOKUP(B142,Players!$A:$AF,30,FALSE)&gt;=60,"Visible","Hidden/Review"))</f>
        <v/>
      </c>
    </row>
    <row r="143" spans="11:19">
      <c r="K143" t="str">
        <f t="shared" si="24"/>
        <v/>
      </c>
      <c r="L143" t="str">
        <f t="shared" si="25"/>
        <v/>
      </c>
      <c r="M143" t="str">
        <f t="shared" si="26"/>
        <v/>
      </c>
      <c r="N143">
        <v>0</v>
      </c>
      <c r="O143">
        <v>2</v>
      </c>
      <c r="P143" t="str">
        <f t="shared" si="27"/>
        <v/>
      </c>
      <c r="Q143" t="str">
        <f t="shared" si="28"/>
        <v/>
      </c>
      <c r="R143" t="str">
        <f t="shared" si="29"/>
        <v/>
      </c>
      <c r="S143" t="str">
        <f>IF(A143="","",IF(VLOOKUP(B143,Players!$A:$AF,30,FALSE)&gt;=60,"Visible","Hidden/Review"))</f>
        <v/>
      </c>
    </row>
    <row r="144" spans="11:19">
      <c r="K144" t="str">
        <f t="shared" si="24"/>
        <v/>
      </c>
      <c r="L144" t="str">
        <f t="shared" si="25"/>
        <v/>
      </c>
      <c r="M144" t="str">
        <f t="shared" si="26"/>
        <v/>
      </c>
      <c r="N144">
        <v>0</v>
      </c>
      <c r="O144">
        <v>2</v>
      </c>
      <c r="P144" t="str">
        <f t="shared" si="27"/>
        <v/>
      </c>
      <c r="Q144" t="str">
        <f t="shared" si="28"/>
        <v/>
      </c>
      <c r="R144" t="str">
        <f t="shared" si="29"/>
        <v/>
      </c>
      <c r="S144" t="str">
        <f>IF(A144="","",IF(VLOOKUP(B144,Players!$A:$AF,30,FALSE)&gt;=60,"Visible","Hidden/Review"))</f>
        <v/>
      </c>
    </row>
    <row r="145" spans="11:19">
      <c r="K145" t="str">
        <f t="shared" si="24"/>
        <v/>
      </c>
      <c r="L145" t="str">
        <f t="shared" si="25"/>
        <v/>
      </c>
      <c r="M145" t="str">
        <f t="shared" si="26"/>
        <v/>
      </c>
      <c r="N145">
        <v>0</v>
      </c>
      <c r="O145">
        <v>2</v>
      </c>
      <c r="P145" t="str">
        <f t="shared" si="27"/>
        <v/>
      </c>
      <c r="Q145" t="str">
        <f t="shared" si="28"/>
        <v/>
      </c>
      <c r="R145" t="str">
        <f t="shared" si="29"/>
        <v/>
      </c>
      <c r="S145" t="str">
        <f>IF(A145="","",IF(VLOOKUP(B145,Players!$A:$AF,30,FALSE)&gt;=60,"Visible","Hidden/Review"))</f>
        <v/>
      </c>
    </row>
    <row r="146" spans="11:19">
      <c r="K146" t="str">
        <f t="shared" si="24"/>
        <v/>
      </c>
      <c r="L146" t="str">
        <f t="shared" si="25"/>
        <v/>
      </c>
      <c r="M146" t="str">
        <f t="shared" si="26"/>
        <v/>
      </c>
      <c r="N146">
        <v>0</v>
      </c>
      <c r="O146">
        <v>2</v>
      </c>
      <c r="P146" t="str">
        <f t="shared" si="27"/>
        <v/>
      </c>
      <c r="Q146" t="str">
        <f t="shared" si="28"/>
        <v/>
      </c>
      <c r="R146" t="str">
        <f t="shared" si="29"/>
        <v/>
      </c>
      <c r="S146" t="str">
        <f>IF(A146="","",IF(VLOOKUP(B146,Players!$A:$AF,30,FALSE)&gt;=60,"Visible","Hidden/Review"))</f>
        <v/>
      </c>
    </row>
    <row r="147" spans="11:19">
      <c r="K147" t="str">
        <f t="shared" si="24"/>
        <v/>
      </c>
      <c r="L147" t="str">
        <f t="shared" si="25"/>
        <v/>
      </c>
      <c r="M147" t="str">
        <f t="shared" si="26"/>
        <v/>
      </c>
      <c r="N147">
        <v>0</v>
      </c>
      <c r="O147">
        <v>2</v>
      </c>
      <c r="P147" t="str">
        <f t="shared" si="27"/>
        <v/>
      </c>
      <c r="Q147" t="str">
        <f t="shared" si="28"/>
        <v/>
      </c>
      <c r="R147" t="str">
        <f t="shared" si="29"/>
        <v/>
      </c>
      <c r="S147" t="str">
        <f>IF(A147="","",IF(VLOOKUP(B147,Players!$A:$AF,30,FALSE)&gt;=60,"Visible","Hidden/Review"))</f>
        <v/>
      </c>
    </row>
    <row r="148" spans="11:19">
      <c r="K148" t="str">
        <f t="shared" si="24"/>
        <v/>
      </c>
      <c r="L148" t="str">
        <f t="shared" si="25"/>
        <v/>
      </c>
      <c r="M148" t="str">
        <f t="shared" si="26"/>
        <v/>
      </c>
      <c r="N148">
        <v>0</v>
      </c>
      <c r="O148">
        <v>2</v>
      </c>
      <c r="P148" t="str">
        <f t="shared" si="27"/>
        <v/>
      </c>
      <c r="Q148" t="str">
        <f t="shared" si="28"/>
        <v/>
      </c>
      <c r="R148" t="str">
        <f t="shared" si="29"/>
        <v/>
      </c>
      <c r="S148" t="str">
        <f>IF(A148="","",IF(VLOOKUP(B148,Players!$A:$AF,30,FALSE)&gt;=60,"Visible","Hidden/Review"))</f>
        <v/>
      </c>
    </row>
    <row r="149" spans="11:19">
      <c r="K149" t="str">
        <f t="shared" si="24"/>
        <v/>
      </c>
      <c r="L149" t="str">
        <f t="shared" si="25"/>
        <v/>
      </c>
      <c r="M149" t="str">
        <f t="shared" si="26"/>
        <v/>
      </c>
      <c r="N149">
        <v>0</v>
      </c>
      <c r="O149">
        <v>2</v>
      </c>
      <c r="P149" t="str">
        <f t="shared" si="27"/>
        <v/>
      </c>
      <c r="Q149" t="str">
        <f t="shared" si="28"/>
        <v/>
      </c>
      <c r="R149" t="str">
        <f t="shared" si="29"/>
        <v/>
      </c>
      <c r="S149" t="str">
        <f>IF(A149="","",IF(VLOOKUP(B149,Players!$A:$AF,30,FALSE)&gt;=60,"Visible","Hidden/Review"))</f>
        <v/>
      </c>
    </row>
    <row r="150" spans="11:19">
      <c r="K150" t="str">
        <f t="shared" si="24"/>
        <v/>
      </c>
      <c r="L150" t="str">
        <f t="shared" si="25"/>
        <v/>
      </c>
      <c r="M150" t="str">
        <f t="shared" si="26"/>
        <v/>
      </c>
      <c r="N150">
        <v>0</v>
      </c>
      <c r="O150">
        <v>2</v>
      </c>
      <c r="P150" t="str">
        <f t="shared" si="27"/>
        <v/>
      </c>
      <c r="Q150" t="str">
        <f t="shared" si="28"/>
        <v/>
      </c>
      <c r="R150" t="str">
        <f t="shared" si="29"/>
        <v/>
      </c>
      <c r="S150" t="str">
        <f>IF(A150="","",IF(VLOOKUP(B150,Players!$A:$AF,30,FALSE)&gt;=60,"Visible","Hidden/Review"))</f>
        <v/>
      </c>
    </row>
    <row r="151" spans="11:19">
      <c r="K151" t="str">
        <f t="shared" si="24"/>
        <v/>
      </c>
      <c r="L151" t="str">
        <f t="shared" si="25"/>
        <v/>
      </c>
      <c r="M151" t="str">
        <f t="shared" si="26"/>
        <v/>
      </c>
      <c r="N151">
        <v>0</v>
      </c>
      <c r="O151">
        <v>2</v>
      </c>
      <c r="P151" t="str">
        <f t="shared" si="27"/>
        <v/>
      </c>
      <c r="Q151" t="str">
        <f t="shared" si="28"/>
        <v/>
      </c>
      <c r="R151" t="str">
        <f t="shared" si="29"/>
        <v/>
      </c>
      <c r="S151" t="str">
        <f>IF(A151="","",IF(VLOOKUP(B151,Players!$A:$AF,30,FALSE)&gt;=60,"Visible","Hidden/Review"))</f>
        <v/>
      </c>
    </row>
    <row r="152" spans="11:19">
      <c r="K152" t="str">
        <f t="shared" si="24"/>
        <v/>
      </c>
      <c r="L152" t="str">
        <f t="shared" si="25"/>
        <v/>
      </c>
      <c r="M152" t="str">
        <f t="shared" si="26"/>
        <v/>
      </c>
      <c r="N152">
        <v>0</v>
      </c>
      <c r="O152">
        <v>2</v>
      </c>
      <c r="P152" t="str">
        <f t="shared" si="27"/>
        <v/>
      </c>
      <c r="Q152" t="str">
        <f t="shared" si="28"/>
        <v/>
      </c>
      <c r="R152" t="str">
        <f t="shared" si="29"/>
        <v/>
      </c>
      <c r="S152" t="str">
        <f>IF(A152="","",IF(VLOOKUP(B152,Players!$A:$AF,30,FALSE)&gt;=60,"Visible","Hidden/Review"))</f>
        <v/>
      </c>
    </row>
    <row r="153" spans="11:19">
      <c r="K153" t="str">
        <f t="shared" si="24"/>
        <v/>
      </c>
      <c r="L153" t="str">
        <f t="shared" si="25"/>
        <v/>
      </c>
      <c r="M153" t="str">
        <f t="shared" si="26"/>
        <v/>
      </c>
      <c r="N153">
        <v>0</v>
      </c>
      <c r="O153">
        <v>2</v>
      </c>
      <c r="P153" t="str">
        <f t="shared" si="27"/>
        <v/>
      </c>
      <c r="Q153" t="str">
        <f t="shared" si="28"/>
        <v/>
      </c>
      <c r="R153" t="str">
        <f t="shared" si="29"/>
        <v/>
      </c>
      <c r="S153" t="str">
        <f>IF(A153="","",IF(VLOOKUP(B153,Players!$A:$AF,30,FALSE)&gt;=60,"Visible","Hidden/Review"))</f>
        <v/>
      </c>
    </row>
    <row r="154" spans="11:19">
      <c r="K154" t="str">
        <f t="shared" si="24"/>
        <v/>
      </c>
      <c r="L154" t="str">
        <f t="shared" si="25"/>
        <v/>
      </c>
      <c r="M154" t="str">
        <f t="shared" si="26"/>
        <v/>
      </c>
      <c r="N154">
        <v>0</v>
      </c>
      <c r="O154">
        <v>2</v>
      </c>
      <c r="P154" t="str">
        <f t="shared" si="27"/>
        <v/>
      </c>
      <c r="Q154" t="str">
        <f t="shared" si="28"/>
        <v/>
      </c>
      <c r="R154" t="str">
        <f t="shared" si="29"/>
        <v/>
      </c>
      <c r="S154" t="str">
        <f>IF(A154="","",IF(VLOOKUP(B154,Players!$A:$AF,30,FALSE)&gt;=60,"Visible","Hidden/Review"))</f>
        <v/>
      </c>
    </row>
    <row r="155" spans="11:19">
      <c r="K155" t="str">
        <f t="shared" si="24"/>
        <v/>
      </c>
      <c r="L155" t="str">
        <f t="shared" si="25"/>
        <v/>
      </c>
      <c r="M155" t="str">
        <f t="shared" si="26"/>
        <v/>
      </c>
      <c r="N155">
        <v>0</v>
      </c>
      <c r="O155">
        <v>2</v>
      </c>
      <c r="P155" t="str">
        <f t="shared" si="27"/>
        <v/>
      </c>
      <c r="Q155" t="str">
        <f t="shared" si="28"/>
        <v/>
      </c>
      <c r="R155" t="str">
        <f t="shared" si="29"/>
        <v/>
      </c>
      <c r="S155" t="str">
        <f>IF(A155="","",IF(VLOOKUP(B155,Players!$A:$AF,30,FALSE)&gt;=60,"Visible","Hidden/Review"))</f>
        <v/>
      </c>
    </row>
    <row r="156" spans="11:19">
      <c r="K156" t="str">
        <f t="shared" si="24"/>
        <v/>
      </c>
      <c r="L156" t="str">
        <f t="shared" si="25"/>
        <v/>
      </c>
      <c r="M156" t="str">
        <f t="shared" si="26"/>
        <v/>
      </c>
      <c r="N156">
        <v>0</v>
      </c>
      <c r="O156">
        <v>2</v>
      </c>
      <c r="P156" t="str">
        <f t="shared" si="27"/>
        <v/>
      </c>
      <c r="Q156" t="str">
        <f t="shared" si="28"/>
        <v/>
      </c>
      <c r="R156" t="str">
        <f t="shared" si="29"/>
        <v/>
      </c>
      <c r="S156" t="str">
        <f>IF(A156="","",IF(VLOOKUP(B156,Players!$A:$AF,30,FALSE)&gt;=60,"Visible","Hidden/Review"))</f>
        <v/>
      </c>
    </row>
    <row r="157" spans="11:19">
      <c r="K157" t="str">
        <f t="shared" si="24"/>
        <v/>
      </c>
      <c r="L157" t="str">
        <f t="shared" si="25"/>
        <v/>
      </c>
      <c r="M157" t="str">
        <f t="shared" si="26"/>
        <v/>
      </c>
      <c r="N157">
        <v>0</v>
      </c>
      <c r="O157">
        <v>2</v>
      </c>
      <c r="P157" t="str">
        <f t="shared" si="27"/>
        <v/>
      </c>
      <c r="Q157" t="str">
        <f t="shared" si="28"/>
        <v/>
      </c>
      <c r="R157" t="str">
        <f t="shared" si="29"/>
        <v/>
      </c>
      <c r="S157" t="str">
        <f>IF(A157="","",IF(VLOOKUP(B157,Players!$A:$AF,30,FALSE)&gt;=60,"Visible","Hidden/Review"))</f>
        <v/>
      </c>
    </row>
    <row r="158" spans="11:19">
      <c r="K158" t="str">
        <f t="shared" si="24"/>
        <v/>
      </c>
      <c r="L158" t="str">
        <f t="shared" si="25"/>
        <v/>
      </c>
      <c r="M158" t="str">
        <f t="shared" si="26"/>
        <v/>
      </c>
      <c r="N158">
        <v>0</v>
      </c>
      <c r="O158">
        <v>2</v>
      </c>
      <c r="P158" t="str">
        <f t="shared" si="27"/>
        <v/>
      </c>
      <c r="Q158" t="str">
        <f t="shared" si="28"/>
        <v/>
      </c>
      <c r="R158" t="str">
        <f t="shared" si="29"/>
        <v/>
      </c>
      <c r="S158" t="str">
        <f>IF(A158="","",IF(VLOOKUP(B158,Players!$A:$AF,30,FALSE)&gt;=60,"Visible","Hidden/Review"))</f>
        <v/>
      </c>
    </row>
    <row r="159" spans="11:19">
      <c r="K159" t="str">
        <f t="shared" si="24"/>
        <v/>
      </c>
      <c r="L159" t="str">
        <f t="shared" si="25"/>
        <v/>
      </c>
      <c r="M159" t="str">
        <f t="shared" si="26"/>
        <v/>
      </c>
      <c r="N159">
        <v>0</v>
      </c>
      <c r="O159">
        <v>2</v>
      </c>
      <c r="P159" t="str">
        <f t="shared" si="27"/>
        <v/>
      </c>
      <c r="Q159" t="str">
        <f t="shared" si="28"/>
        <v/>
      </c>
      <c r="R159" t="str">
        <f t="shared" si="29"/>
        <v/>
      </c>
      <c r="S159" t="str">
        <f>IF(A159="","",IF(VLOOKUP(B159,Players!$A:$AF,30,FALSE)&gt;=60,"Visible","Hidden/Review"))</f>
        <v/>
      </c>
    </row>
    <row r="160" spans="11:19">
      <c r="K160" t="str">
        <f t="shared" si="24"/>
        <v/>
      </c>
      <c r="L160" t="str">
        <f t="shared" si="25"/>
        <v/>
      </c>
      <c r="M160" t="str">
        <f t="shared" si="26"/>
        <v/>
      </c>
      <c r="N160">
        <v>0</v>
      </c>
      <c r="O160">
        <v>2</v>
      </c>
      <c r="P160" t="str">
        <f t="shared" si="27"/>
        <v/>
      </c>
      <c r="Q160" t="str">
        <f t="shared" si="28"/>
        <v/>
      </c>
      <c r="R160" t="str">
        <f t="shared" si="29"/>
        <v/>
      </c>
      <c r="S160" t="str">
        <f>IF(A160="","",IF(VLOOKUP(B160,Players!$A:$AF,30,FALSE)&gt;=60,"Visible","Hidden/Review"))</f>
        <v/>
      </c>
    </row>
    <row r="161" spans="11:19">
      <c r="K161" t="str">
        <f t="shared" si="24"/>
        <v/>
      </c>
      <c r="L161" t="str">
        <f t="shared" si="25"/>
        <v/>
      </c>
      <c r="M161" t="str">
        <f t="shared" si="26"/>
        <v/>
      </c>
      <c r="N161">
        <v>0</v>
      </c>
      <c r="O161">
        <v>2</v>
      </c>
      <c r="P161" t="str">
        <f t="shared" si="27"/>
        <v/>
      </c>
      <c r="Q161" t="str">
        <f t="shared" si="28"/>
        <v/>
      </c>
      <c r="R161" t="str">
        <f t="shared" si="29"/>
        <v/>
      </c>
      <c r="S161" t="str">
        <f>IF(A161="","",IF(VLOOKUP(B161,Players!$A:$AF,30,FALSE)&gt;=60,"Visible","Hidden/Review"))</f>
        <v/>
      </c>
    </row>
    <row r="162" spans="11:19">
      <c r="K162" t="str">
        <f t="shared" si="24"/>
        <v/>
      </c>
      <c r="L162" t="str">
        <f t="shared" si="25"/>
        <v/>
      </c>
      <c r="M162" t="str">
        <f t="shared" si="26"/>
        <v/>
      </c>
      <c r="N162">
        <v>0</v>
      </c>
      <c r="O162">
        <v>2</v>
      </c>
      <c r="P162" t="str">
        <f t="shared" si="27"/>
        <v/>
      </c>
      <c r="Q162" t="str">
        <f t="shared" si="28"/>
        <v/>
      </c>
      <c r="R162" t="str">
        <f t="shared" si="29"/>
        <v/>
      </c>
      <c r="S162" t="str">
        <f>IF(A162="","",IF(VLOOKUP(B162,Players!$A:$AF,30,FALSE)&gt;=60,"Visible","Hidden/Review"))</f>
        <v/>
      </c>
    </row>
    <row r="163" spans="11:19">
      <c r="K163" t="str">
        <f t="shared" si="24"/>
        <v/>
      </c>
      <c r="L163" t="str">
        <f t="shared" si="25"/>
        <v/>
      </c>
      <c r="M163" t="str">
        <f t="shared" si="26"/>
        <v/>
      </c>
      <c r="N163">
        <v>0</v>
      </c>
      <c r="O163">
        <v>2</v>
      </c>
      <c r="P163" t="str">
        <f t="shared" si="27"/>
        <v/>
      </c>
      <c r="Q163" t="str">
        <f t="shared" si="28"/>
        <v/>
      </c>
      <c r="R163" t="str">
        <f t="shared" si="29"/>
        <v/>
      </c>
      <c r="S163" t="str">
        <f>IF(A163="","",IF(VLOOKUP(B163,Players!$A:$AF,30,FALSE)&gt;=60,"Visible","Hidden/Review"))</f>
        <v/>
      </c>
    </row>
    <row r="164" spans="11:19">
      <c r="K164" t="str">
        <f t="shared" si="24"/>
        <v/>
      </c>
      <c r="L164" t="str">
        <f t="shared" si="25"/>
        <v/>
      </c>
      <c r="M164" t="str">
        <f t="shared" si="26"/>
        <v/>
      </c>
      <c r="N164">
        <v>0</v>
      </c>
      <c r="O164">
        <v>2</v>
      </c>
      <c r="P164" t="str">
        <f t="shared" si="27"/>
        <v/>
      </c>
      <c r="Q164" t="str">
        <f t="shared" si="28"/>
        <v/>
      </c>
      <c r="R164" t="str">
        <f t="shared" si="29"/>
        <v/>
      </c>
      <c r="S164" t="str">
        <f>IF(A164="","",IF(VLOOKUP(B164,Players!$A:$AF,30,FALSE)&gt;=60,"Visible","Hidden/Review"))</f>
        <v/>
      </c>
    </row>
    <row r="165" spans="11:19">
      <c r="K165" t="str">
        <f t="shared" ref="K165:K200" si="30">IF(A165="","",G165*1)</f>
        <v/>
      </c>
      <c r="L165" t="str">
        <f t="shared" ref="L165:L200" si="31">IF(A165="","",H165*3)</f>
        <v/>
      </c>
      <c r="M165" t="str">
        <f t="shared" ref="M165:M200" si="32">IF(A165="","",I165*1)</f>
        <v/>
      </c>
      <c r="N165">
        <v>0</v>
      </c>
      <c r="O165">
        <v>2</v>
      </c>
      <c r="P165" t="str">
        <f t="shared" ref="P165:P196" si="33">IF(A165="","",K165+L165+M165+N165+O165)</f>
        <v/>
      </c>
      <c r="Q165" t="str">
        <f t="shared" ref="Q165:Q200" si="34">IF(A165="","",IF(G165=0,0,H165/G165))</f>
        <v/>
      </c>
      <c r="R165" t="str">
        <f t="shared" ref="R165:R200" si="35">IF(A165="","",1+COUNTIF($P$5:$P$200,"&gt;"&amp;P165))</f>
        <v/>
      </c>
      <c r="S165" t="str">
        <f>IF(A165="","",IF(VLOOKUP(B165,Players!$A:$AF,30,FALSE)&gt;=60,"Visible","Hidden/Review"))</f>
        <v/>
      </c>
    </row>
    <row r="166" spans="11:19">
      <c r="K166" t="str">
        <f t="shared" si="30"/>
        <v/>
      </c>
      <c r="L166" t="str">
        <f t="shared" si="31"/>
        <v/>
      </c>
      <c r="M166" t="str">
        <f t="shared" si="32"/>
        <v/>
      </c>
      <c r="N166">
        <v>0</v>
      </c>
      <c r="O166">
        <v>2</v>
      </c>
      <c r="P166" t="str">
        <f t="shared" si="33"/>
        <v/>
      </c>
      <c r="Q166" t="str">
        <f t="shared" si="34"/>
        <v/>
      </c>
      <c r="R166" t="str">
        <f t="shared" si="35"/>
        <v/>
      </c>
      <c r="S166" t="str">
        <f>IF(A166="","",IF(VLOOKUP(B166,Players!$A:$AF,30,FALSE)&gt;=60,"Visible","Hidden/Review"))</f>
        <v/>
      </c>
    </row>
    <row r="167" spans="11:19">
      <c r="K167" t="str">
        <f t="shared" si="30"/>
        <v/>
      </c>
      <c r="L167" t="str">
        <f t="shared" si="31"/>
        <v/>
      </c>
      <c r="M167" t="str">
        <f t="shared" si="32"/>
        <v/>
      </c>
      <c r="N167">
        <v>0</v>
      </c>
      <c r="O167">
        <v>2</v>
      </c>
      <c r="P167" t="str">
        <f t="shared" si="33"/>
        <v/>
      </c>
      <c r="Q167" t="str">
        <f t="shared" si="34"/>
        <v/>
      </c>
      <c r="R167" t="str">
        <f t="shared" si="35"/>
        <v/>
      </c>
      <c r="S167" t="str">
        <f>IF(A167="","",IF(VLOOKUP(B167,Players!$A:$AF,30,FALSE)&gt;=60,"Visible","Hidden/Review"))</f>
        <v/>
      </c>
    </row>
    <row r="168" spans="11:19">
      <c r="K168" t="str">
        <f t="shared" si="30"/>
        <v/>
      </c>
      <c r="L168" t="str">
        <f t="shared" si="31"/>
        <v/>
      </c>
      <c r="M168" t="str">
        <f t="shared" si="32"/>
        <v/>
      </c>
      <c r="N168">
        <v>0</v>
      </c>
      <c r="O168">
        <v>2</v>
      </c>
      <c r="P168" t="str">
        <f t="shared" si="33"/>
        <v/>
      </c>
      <c r="Q168" t="str">
        <f t="shared" si="34"/>
        <v/>
      </c>
      <c r="R168" t="str">
        <f t="shared" si="35"/>
        <v/>
      </c>
      <c r="S168" t="str">
        <f>IF(A168="","",IF(VLOOKUP(B168,Players!$A:$AF,30,FALSE)&gt;=60,"Visible","Hidden/Review"))</f>
        <v/>
      </c>
    </row>
    <row r="169" spans="11:19">
      <c r="K169" t="str">
        <f t="shared" si="30"/>
        <v/>
      </c>
      <c r="L169" t="str">
        <f t="shared" si="31"/>
        <v/>
      </c>
      <c r="M169" t="str">
        <f t="shared" si="32"/>
        <v/>
      </c>
      <c r="N169">
        <v>0</v>
      </c>
      <c r="O169">
        <v>2</v>
      </c>
      <c r="P169" t="str">
        <f t="shared" si="33"/>
        <v/>
      </c>
      <c r="Q169" t="str">
        <f t="shared" si="34"/>
        <v/>
      </c>
      <c r="R169" t="str">
        <f t="shared" si="35"/>
        <v/>
      </c>
      <c r="S169" t="str">
        <f>IF(A169="","",IF(VLOOKUP(B169,Players!$A:$AF,30,FALSE)&gt;=60,"Visible","Hidden/Review"))</f>
        <v/>
      </c>
    </row>
    <row r="170" spans="11:19">
      <c r="K170" t="str">
        <f t="shared" si="30"/>
        <v/>
      </c>
      <c r="L170" t="str">
        <f t="shared" si="31"/>
        <v/>
      </c>
      <c r="M170" t="str">
        <f t="shared" si="32"/>
        <v/>
      </c>
      <c r="N170">
        <v>0</v>
      </c>
      <c r="O170">
        <v>2</v>
      </c>
      <c r="P170" t="str">
        <f t="shared" si="33"/>
        <v/>
      </c>
      <c r="Q170" t="str">
        <f t="shared" si="34"/>
        <v/>
      </c>
      <c r="R170" t="str">
        <f t="shared" si="35"/>
        <v/>
      </c>
      <c r="S170" t="str">
        <f>IF(A170="","",IF(VLOOKUP(B170,Players!$A:$AF,30,FALSE)&gt;=60,"Visible","Hidden/Review"))</f>
        <v/>
      </c>
    </row>
    <row r="171" spans="11:19">
      <c r="K171" t="str">
        <f t="shared" si="30"/>
        <v/>
      </c>
      <c r="L171" t="str">
        <f t="shared" si="31"/>
        <v/>
      </c>
      <c r="M171" t="str">
        <f t="shared" si="32"/>
        <v/>
      </c>
      <c r="N171">
        <v>0</v>
      </c>
      <c r="O171">
        <v>2</v>
      </c>
      <c r="P171" t="str">
        <f t="shared" si="33"/>
        <v/>
      </c>
      <c r="Q171" t="str">
        <f t="shared" si="34"/>
        <v/>
      </c>
      <c r="R171" t="str">
        <f t="shared" si="35"/>
        <v/>
      </c>
      <c r="S171" t="str">
        <f>IF(A171="","",IF(VLOOKUP(B171,Players!$A:$AF,30,FALSE)&gt;=60,"Visible","Hidden/Review"))</f>
        <v/>
      </c>
    </row>
    <row r="172" spans="11:19">
      <c r="K172" t="str">
        <f t="shared" si="30"/>
        <v/>
      </c>
      <c r="L172" t="str">
        <f t="shared" si="31"/>
        <v/>
      </c>
      <c r="M172" t="str">
        <f t="shared" si="32"/>
        <v/>
      </c>
      <c r="N172">
        <v>0</v>
      </c>
      <c r="O172">
        <v>2</v>
      </c>
      <c r="P172" t="str">
        <f t="shared" si="33"/>
        <v/>
      </c>
      <c r="Q172" t="str">
        <f t="shared" si="34"/>
        <v/>
      </c>
      <c r="R172" t="str">
        <f t="shared" si="35"/>
        <v/>
      </c>
      <c r="S172" t="str">
        <f>IF(A172="","",IF(VLOOKUP(B172,Players!$A:$AF,30,FALSE)&gt;=60,"Visible","Hidden/Review"))</f>
        <v/>
      </c>
    </row>
    <row r="173" spans="11:19">
      <c r="K173" t="str">
        <f t="shared" si="30"/>
        <v/>
      </c>
      <c r="L173" t="str">
        <f t="shared" si="31"/>
        <v/>
      </c>
      <c r="M173" t="str">
        <f t="shared" si="32"/>
        <v/>
      </c>
      <c r="N173">
        <v>0</v>
      </c>
      <c r="O173">
        <v>2</v>
      </c>
      <c r="P173" t="str">
        <f t="shared" si="33"/>
        <v/>
      </c>
      <c r="Q173" t="str">
        <f t="shared" si="34"/>
        <v/>
      </c>
      <c r="R173" t="str">
        <f t="shared" si="35"/>
        <v/>
      </c>
      <c r="S173" t="str">
        <f>IF(A173="","",IF(VLOOKUP(B173,Players!$A:$AF,30,FALSE)&gt;=60,"Visible","Hidden/Review"))</f>
        <v/>
      </c>
    </row>
    <row r="174" spans="11:19">
      <c r="K174" t="str">
        <f t="shared" si="30"/>
        <v/>
      </c>
      <c r="L174" t="str">
        <f t="shared" si="31"/>
        <v/>
      </c>
      <c r="M174" t="str">
        <f t="shared" si="32"/>
        <v/>
      </c>
      <c r="N174">
        <v>0</v>
      </c>
      <c r="O174">
        <v>2</v>
      </c>
      <c r="P174" t="str">
        <f t="shared" si="33"/>
        <v/>
      </c>
      <c r="Q174" t="str">
        <f t="shared" si="34"/>
        <v/>
      </c>
      <c r="R174" t="str">
        <f t="shared" si="35"/>
        <v/>
      </c>
      <c r="S174" t="str">
        <f>IF(A174="","",IF(VLOOKUP(B174,Players!$A:$AF,30,FALSE)&gt;=60,"Visible","Hidden/Review"))</f>
        <v/>
      </c>
    </row>
    <row r="175" spans="11:19">
      <c r="K175" t="str">
        <f t="shared" si="30"/>
        <v/>
      </c>
      <c r="L175" t="str">
        <f t="shared" si="31"/>
        <v/>
      </c>
      <c r="M175" t="str">
        <f t="shared" si="32"/>
        <v/>
      </c>
      <c r="N175">
        <v>0</v>
      </c>
      <c r="O175">
        <v>2</v>
      </c>
      <c r="P175" t="str">
        <f t="shared" si="33"/>
        <v/>
      </c>
      <c r="Q175" t="str">
        <f t="shared" si="34"/>
        <v/>
      </c>
      <c r="R175" t="str">
        <f t="shared" si="35"/>
        <v/>
      </c>
      <c r="S175" t="str">
        <f>IF(A175="","",IF(VLOOKUP(B175,Players!$A:$AF,30,FALSE)&gt;=60,"Visible","Hidden/Review"))</f>
        <v/>
      </c>
    </row>
    <row r="176" spans="11:19">
      <c r="K176" t="str">
        <f t="shared" si="30"/>
        <v/>
      </c>
      <c r="L176" t="str">
        <f t="shared" si="31"/>
        <v/>
      </c>
      <c r="M176" t="str">
        <f t="shared" si="32"/>
        <v/>
      </c>
      <c r="N176">
        <v>0</v>
      </c>
      <c r="O176">
        <v>2</v>
      </c>
      <c r="P176" t="str">
        <f t="shared" si="33"/>
        <v/>
      </c>
      <c r="Q176" t="str">
        <f t="shared" si="34"/>
        <v/>
      </c>
      <c r="R176" t="str">
        <f t="shared" si="35"/>
        <v/>
      </c>
      <c r="S176" t="str">
        <f>IF(A176="","",IF(VLOOKUP(B176,Players!$A:$AF,30,FALSE)&gt;=60,"Visible","Hidden/Review"))</f>
        <v/>
      </c>
    </row>
    <row r="177" spans="11:19">
      <c r="K177" t="str">
        <f t="shared" si="30"/>
        <v/>
      </c>
      <c r="L177" t="str">
        <f t="shared" si="31"/>
        <v/>
      </c>
      <c r="M177" t="str">
        <f t="shared" si="32"/>
        <v/>
      </c>
      <c r="N177">
        <v>0</v>
      </c>
      <c r="O177">
        <v>2</v>
      </c>
      <c r="P177" t="str">
        <f t="shared" si="33"/>
        <v/>
      </c>
      <c r="Q177" t="str">
        <f t="shared" si="34"/>
        <v/>
      </c>
      <c r="R177" t="str">
        <f t="shared" si="35"/>
        <v/>
      </c>
      <c r="S177" t="str">
        <f>IF(A177="","",IF(VLOOKUP(B177,Players!$A:$AF,30,FALSE)&gt;=60,"Visible","Hidden/Review"))</f>
        <v/>
      </c>
    </row>
    <row r="178" spans="11:19">
      <c r="K178" t="str">
        <f t="shared" si="30"/>
        <v/>
      </c>
      <c r="L178" t="str">
        <f t="shared" si="31"/>
        <v/>
      </c>
      <c r="M178" t="str">
        <f t="shared" si="32"/>
        <v/>
      </c>
      <c r="N178">
        <v>0</v>
      </c>
      <c r="O178">
        <v>2</v>
      </c>
      <c r="P178" t="str">
        <f t="shared" si="33"/>
        <v/>
      </c>
      <c r="Q178" t="str">
        <f t="shared" si="34"/>
        <v/>
      </c>
      <c r="R178" t="str">
        <f t="shared" si="35"/>
        <v/>
      </c>
      <c r="S178" t="str">
        <f>IF(A178="","",IF(VLOOKUP(B178,Players!$A:$AF,30,FALSE)&gt;=60,"Visible","Hidden/Review"))</f>
        <v/>
      </c>
    </row>
    <row r="179" spans="11:19">
      <c r="K179" t="str">
        <f t="shared" si="30"/>
        <v/>
      </c>
      <c r="L179" t="str">
        <f t="shared" si="31"/>
        <v/>
      </c>
      <c r="M179" t="str">
        <f t="shared" si="32"/>
        <v/>
      </c>
      <c r="N179">
        <v>0</v>
      </c>
      <c r="O179">
        <v>2</v>
      </c>
      <c r="P179" t="str">
        <f t="shared" si="33"/>
        <v/>
      </c>
      <c r="Q179" t="str">
        <f t="shared" si="34"/>
        <v/>
      </c>
      <c r="R179" t="str">
        <f t="shared" si="35"/>
        <v/>
      </c>
      <c r="S179" t="str">
        <f>IF(A179="","",IF(VLOOKUP(B179,Players!$A:$AF,30,FALSE)&gt;=60,"Visible","Hidden/Review"))</f>
        <v/>
      </c>
    </row>
    <row r="180" spans="11:19">
      <c r="K180" t="str">
        <f t="shared" si="30"/>
        <v/>
      </c>
      <c r="L180" t="str">
        <f t="shared" si="31"/>
        <v/>
      </c>
      <c r="M180" t="str">
        <f t="shared" si="32"/>
        <v/>
      </c>
      <c r="N180">
        <v>0</v>
      </c>
      <c r="O180">
        <v>2</v>
      </c>
      <c r="P180" t="str">
        <f t="shared" si="33"/>
        <v/>
      </c>
      <c r="Q180" t="str">
        <f t="shared" si="34"/>
        <v/>
      </c>
      <c r="R180" t="str">
        <f t="shared" si="35"/>
        <v/>
      </c>
      <c r="S180" t="str">
        <f>IF(A180="","",IF(VLOOKUP(B180,Players!$A:$AF,30,FALSE)&gt;=60,"Visible","Hidden/Review"))</f>
        <v/>
      </c>
    </row>
    <row r="181" spans="11:19">
      <c r="K181" t="str">
        <f t="shared" si="30"/>
        <v/>
      </c>
      <c r="L181" t="str">
        <f t="shared" si="31"/>
        <v/>
      </c>
      <c r="M181" t="str">
        <f t="shared" si="32"/>
        <v/>
      </c>
      <c r="N181">
        <v>0</v>
      </c>
      <c r="O181">
        <v>2</v>
      </c>
      <c r="P181" t="str">
        <f t="shared" si="33"/>
        <v/>
      </c>
      <c r="Q181" t="str">
        <f t="shared" si="34"/>
        <v/>
      </c>
      <c r="R181" t="str">
        <f t="shared" si="35"/>
        <v/>
      </c>
      <c r="S181" t="str">
        <f>IF(A181="","",IF(VLOOKUP(B181,Players!$A:$AF,30,FALSE)&gt;=60,"Visible","Hidden/Review"))</f>
        <v/>
      </c>
    </row>
    <row r="182" spans="11:19">
      <c r="K182" t="str">
        <f t="shared" si="30"/>
        <v/>
      </c>
      <c r="L182" t="str">
        <f t="shared" si="31"/>
        <v/>
      </c>
      <c r="M182" t="str">
        <f t="shared" si="32"/>
        <v/>
      </c>
      <c r="N182">
        <v>0</v>
      </c>
      <c r="O182">
        <v>2</v>
      </c>
      <c r="P182" t="str">
        <f t="shared" si="33"/>
        <v/>
      </c>
      <c r="Q182" t="str">
        <f t="shared" si="34"/>
        <v/>
      </c>
      <c r="R182" t="str">
        <f t="shared" si="35"/>
        <v/>
      </c>
      <c r="S182" t="str">
        <f>IF(A182="","",IF(VLOOKUP(B182,Players!$A:$AF,30,FALSE)&gt;=60,"Visible","Hidden/Review"))</f>
        <v/>
      </c>
    </row>
    <row r="183" spans="11:19">
      <c r="K183" t="str">
        <f t="shared" si="30"/>
        <v/>
      </c>
      <c r="L183" t="str">
        <f t="shared" si="31"/>
        <v/>
      </c>
      <c r="M183" t="str">
        <f t="shared" si="32"/>
        <v/>
      </c>
      <c r="N183">
        <v>0</v>
      </c>
      <c r="O183">
        <v>2</v>
      </c>
      <c r="P183" t="str">
        <f t="shared" si="33"/>
        <v/>
      </c>
      <c r="Q183" t="str">
        <f t="shared" si="34"/>
        <v/>
      </c>
      <c r="R183" t="str">
        <f t="shared" si="35"/>
        <v/>
      </c>
      <c r="S183" t="str">
        <f>IF(A183="","",IF(VLOOKUP(B183,Players!$A:$AF,30,FALSE)&gt;=60,"Visible","Hidden/Review"))</f>
        <v/>
      </c>
    </row>
    <row r="184" spans="11:19">
      <c r="K184" t="str">
        <f t="shared" si="30"/>
        <v/>
      </c>
      <c r="L184" t="str">
        <f t="shared" si="31"/>
        <v/>
      </c>
      <c r="M184" t="str">
        <f t="shared" si="32"/>
        <v/>
      </c>
      <c r="N184">
        <v>0</v>
      </c>
      <c r="O184">
        <v>2</v>
      </c>
      <c r="P184" t="str">
        <f t="shared" si="33"/>
        <v/>
      </c>
      <c r="Q184" t="str">
        <f t="shared" si="34"/>
        <v/>
      </c>
      <c r="R184" t="str">
        <f t="shared" si="35"/>
        <v/>
      </c>
      <c r="S184" t="str">
        <f>IF(A184="","",IF(VLOOKUP(B184,Players!$A:$AF,30,FALSE)&gt;=60,"Visible","Hidden/Review"))</f>
        <v/>
      </c>
    </row>
    <row r="185" spans="11:19">
      <c r="K185" t="str">
        <f t="shared" si="30"/>
        <v/>
      </c>
      <c r="L185" t="str">
        <f t="shared" si="31"/>
        <v/>
      </c>
      <c r="M185" t="str">
        <f t="shared" si="32"/>
        <v/>
      </c>
      <c r="N185">
        <v>0</v>
      </c>
      <c r="O185">
        <v>2</v>
      </c>
      <c r="P185" t="str">
        <f t="shared" si="33"/>
        <v/>
      </c>
      <c r="Q185" t="str">
        <f t="shared" si="34"/>
        <v/>
      </c>
      <c r="R185" t="str">
        <f t="shared" si="35"/>
        <v/>
      </c>
      <c r="S185" t="str">
        <f>IF(A185="","",IF(VLOOKUP(B185,Players!$A:$AF,30,FALSE)&gt;=60,"Visible","Hidden/Review"))</f>
        <v/>
      </c>
    </row>
    <row r="186" spans="11:19">
      <c r="K186" t="str">
        <f t="shared" si="30"/>
        <v/>
      </c>
      <c r="L186" t="str">
        <f t="shared" si="31"/>
        <v/>
      </c>
      <c r="M186" t="str">
        <f t="shared" si="32"/>
        <v/>
      </c>
      <c r="N186">
        <v>0</v>
      </c>
      <c r="O186">
        <v>2</v>
      </c>
      <c r="P186" t="str">
        <f t="shared" si="33"/>
        <v/>
      </c>
      <c r="Q186" t="str">
        <f t="shared" si="34"/>
        <v/>
      </c>
      <c r="R186" t="str">
        <f t="shared" si="35"/>
        <v/>
      </c>
      <c r="S186" t="str">
        <f>IF(A186="","",IF(VLOOKUP(B186,Players!$A:$AF,30,FALSE)&gt;=60,"Visible","Hidden/Review"))</f>
        <v/>
      </c>
    </row>
    <row r="187" spans="11:19">
      <c r="K187" t="str">
        <f t="shared" si="30"/>
        <v/>
      </c>
      <c r="L187" t="str">
        <f t="shared" si="31"/>
        <v/>
      </c>
      <c r="M187" t="str">
        <f t="shared" si="32"/>
        <v/>
      </c>
      <c r="N187">
        <v>0</v>
      </c>
      <c r="O187">
        <v>2</v>
      </c>
      <c r="P187" t="str">
        <f t="shared" si="33"/>
        <v/>
      </c>
      <c r="Q187" t="str">
        <f t="shared" si="34"/>
        <v/>
      </c>
      <c r="R187" t="str">
        <f t="shared" si="35"/>
        <v/>
      </c>
      <c r="S187" t="str">
        <f>IF(A187="","",IF(VLOOKUP(B187,Players!$A:$AF,30,FALSE)&gt;=60,"Visible","Hidden/Review"))</f>
        <v/>
      </c>
    </row>
    <row r="188" spans="11:19">
      <c r="K188" t="str">
        <f t="shared" si="30"/>
        <v/>
      </c>
      <c r="L188" t="str">
        <f t="shared" si="31"/>
        <v/>
      </c>
      <c r="M188" t="str">
        <f t="shared" si="32"/>
        <v/>
      </c>
      <c r="N188">
        <v>0</v>
      </c>
      <c r="O188">
        <v>2</v>
      </c>
      <c r="P188" t="str">
        <f t="shared" si="33"/>
        <v/>
      </c>
      <c r="Q188" t="str">
        <f t="shared" si="34"/>
        <v/>
      </c>
      <c r="R188" t="str">
        <f t="shared" si="35"/>
        <v/>
      </c>
      <c r="S188" t="str">
        <f>IF(A188="","",IF(VLOOKUP(B188,Players!$A:$AF,30,FALSE)&gt;=60,"Visible","Hidden/Review"))</f>
        <v/>
      </c>
    </row>
    <row r="189" spans="11:19">
      <c r="K189" t="str">
        <f t="shared" si="30"/>
        <v/>
      </c>
      <c r="L189" t="str">
        <f t="shared" si="31"/>
        <v/>
      </c>
      <c r="M189" t="str">
        <f t="shared" si="32"/>
        <v/>
      </c>
      <c r="N189">
        <v>0</v>
      </c>
      <c r="O189">
        <v>2</v>
      </c>
      <c r="P189" t="str">
        <f t="shared" si="33"/>
        <v/>
      </c>
      <c r="Q189" t="str">
        <f t="shared" si="34"/>
        <v/>
      </c>
      <c r="R189" t="str">
        <f t="shared" si="35"/>
        <v/>
      </c>
      <c r="S189" t="str">
        <f>IF(A189="","",IF(VLOOKUP(B189,Players!$A:$AF,30,FALSE)&gt;=60,"Visible","Hidden/Review"))</f>
        <v/>
      </c>
    </row>
    <row r="190" spans="11:19">
      <c r="K190" t="str">
        <f t="shared" si="30"/>
        <v/>
      </c>
      <c r="L190" t="str">
        <f t="shared" si="31"/>
        <v/>
      </c>
      <c r="M190" t="str">
        <f t="shared" si="32"/>
        <v/>
      </c>
      <c r="N190">
        <v>0</v>
      </c>
      <c r="O190">
        <v>2</v>
      </c>
      <c r="P190" t="str">
        <f t="shared" si="33"/>
        <v/>
      </c>
      <c r="Q190" t="str">
        <f t="shared" si="34"/>
        <v/>
      </c>
      <c r="R190" t="str">
        <f t="shared" si="35"/>
        <v/>
      </c>
      <c r="S190" t="str">
        <f>IF(A190="","",IF(VLOOKUP(B190,Players!$A:$AF,30,FALSE)&gt;=60,"Visible","Hidden/Review"))</f>
        <v/>
      </c>
    </row>
    <row r="191" spans="11:19">
      <c r="K191" t="str">
        <f t="shared" si="30"/>
        <v/>
      </c>
      <c r="L191" t="str">
        <f t="shared" si="31"/>
        <v/>
      </c>
      <c r="M191" t="str">
        <f t="shared" si="32"/>
        <v/>
      </c>
      <c r="N191">
        <v>0</v>
      </c>
      <c r="O191">
        <v>2</v>
      </c>
      <c r="P191" t="str">
        <f t="shared" si="33"/>
        <v/>
      </c>
      <c r="Q191" t="str">
        <f t="shared" si="34"/>
        <v/>
      </c>
      <c r="R191" t="str">
        <f t="shared" si="35"/>
        <v/>
      </c>
      <c r="S191" t="str">
        <f>IF(A191="","",IF(VLOOKUP(B191,Players!$A:$AF,30,FALSE)&gt;=60,"Visible","Hidden/Review"))</f>
        <v/>
      </c>
    </row>
    <row r="192" spans="11:19">
      <c r="K192" t="str">
        <f t="shared" si="30"/>
        <v/>
      </c>
      <c r="L192" t="str">
        <f t="shared" si="31"/>
        <v/>
      </c>
      <c r="M192" t="str">
        <f t="shared" si="32"/>
        <v/>
      </c>
      <c r="N192">
        <v>0</v>
      </c>
      <c r="O192">
        <v>2</v>
      </c>
      <c r="P192" t="str">
        <f t="shared" si="33"/>
        <v/>
      </c>
      <c r="Q192" t="str">
        <f t="shared" si="34"/>
        <v/>
      </c>
      <c r="R192" t="str">
        <f t="shared" si="35"/>
        <v/>
      </c>
      <c r="S192" t="str">
        <f>IF(A192="","",IF(VLOOKUP(B192,Players!$A:$AF,30,FALSE)&gt;=60,"Visible","Hidden/Review"))</f>
        <v/>
      </c>
    </row>
    <row r="193" spans="11:19">
      <c r="K193" t="str">
        <f t="shared" si="30"/>
        <v/>
      </c>
      <c r="L193" t="str">
        <f t="shared" si="31"/>
        <v/>
      </c>
      <c r="M193" t="str">
        <f t="shared" si="32"/>
        <v/>
      </c>
      <c r="N193">
        <v>0</v>
      </c>
      <c r="O193">
        <v>2</v>
      </c>
      <c r="P193" t="str">
        <f t="shared" si="33"/>
        <v/>
      </c>
      <c r="Q193" t="str">
        <f t="shared" si="34"/>
        <v/>
      </c>
      <c r="R193" t="str">
        <f t="shared" si="35"/>
        <v/>
      </c>
      <c r="S193" t="str">
        <f>IF(A193="","",IF(VLOOKUP(B193,Players!$A:$AF,30,FALSE)&gt;=60,"Visible","Hidden/Review"))</f>
        <v/>
      </c>
    </row>
    <row r="194" spans="11:19">
      <c r="K194" t="str">
        <f t="shared" si="30"/>
        <v/>
      </c>
      <c r="L194" t="str">
        <f t="shared" si="31"/>
        <v/>
      </c>
      <c r="M194" t="str">
        <f t="shared" si="32"/>
        <v/>
      </c>
      <c r="N194">
        <v>0</v>
      </c>
      <c r="O194">
        <v>2</v>
      </c>
      <c r="P194" t="str">
        <f t="shared" si="33"/>
        <v/>
      </c>
      <c r="Q194" t="str">
        <f t="shared" si="34"/>
        <v/>
      </c>
      <c r="R194" t="str">
        <f t="shared" si="35"/>
        <v/>
      </c>
      <c r="S194" t="str">
        <f>IF(A194="","",IF(VLOOKUP(B194,Players!$A:$AF,30,FALSE)&gt;=60,"Visible","Hidden/Review"))</f>
        <v/>
      </c>
    </row>
    <row r="195" spans="11:19">
      <c r="K195" t="str">
        <f t="shared" si="30"/>
        <v/>
      </c>
      <c r="L195" t="str">
        <f t="shared" si="31"/>
        <v/>
      </c>
      <c r="M195" t="str">
        <f t="shared" si="32"/>
        <v/>
      </c>
      <c r="N195">
        <v>0</v>
      </c>
      <c r="O195">
        <v>2</v>
      </c>
      <c r="P195" t="str">
        <f t="shared" si="33"/>
        <v/>
      </c>
      <c r="Q195" t="str">
        <f t="shared" si="34"/>
        <v/>
      </c>
      <c r="R195" t="str">
        <f t="shared" si="35"/>
        <v/>
      </c>
      <c r="S195" t="str">
        <f>IF(A195="","",IF(VLOOKUP(B195,Players!$A:$AF,30,FALSE)&gt;=60,"Visible","Hidden/Review"))</f>
        <v/>
      </c>
    </row>
    <row r="196" spans="11:19">
      <c r="K196" t="str">
        <f t="shared" si="30"/>
        <v/>
      </c>
      <c r="L196" t="str">
        <f t="shared" si="31"/>
        <v/>
      </c>
      <c r="M196" t="str">
        <f t="shared" si="32"/>
        <v/>
      </c>
      <c r="N196">
        <v>0</v>
      </c>
      <c r="O196">
        <v>2</v>
      </c>
      <c r="P196" t="str">
        <f t="shared" si="33"/>
        <v/>
      </c>
      <c r="Q196" t="str">
        <f t="shared" si="34"/>
        <v/>
      </c>
      <c r="R196" t="str">
        <f t="shared" si="35"/>
        <v/>
      </c>
      <c r="S196" t="str">
        <f>IF(A196="","",IF(VLOOKUP(B196,Players!$A:$AF,30,FALSE)&gt;=60,"Visible","Hidden/Review"))</f>
        <v/>
      </c>
    </row>
    <row r="197" spans="11:19">
      <c r="K197" t="str">
        <f t="shared" si="30"/>
        <v/>
      </c>
      <c r="L197" t="str">
        <f t="shared" si="31"/>
        <v/>
      </c>
      <c r="M197" t="str">
        <f t="shared" si="32"/>
        <v/>
      </c>
      <c r="N197">
        <v>0</v>
      </c>
      <c r="O197">
        <v>2</v>
      </c>
      <c r="P197" t="str">
        <f t="shared" ref="P197:P228" si="36">IF(A197="","",K197+L197+M197+N197+O197)</f>
        <v/>
      </c>
      <c r="Q197" t="str">
        <f t="shared" si="34"/>
        <v/>
      </c>
      <c r="R197" t="str">
        <f t="shared" si="35"/>
        <v/>
      </c>
      <c r="S197" t="str">
        <f>IF(A197="","",IF(VLOOKUP(B197,Players!$A:$AF,30,FALSE)&gt;=60,"Visible","Hidden/Review"))</f>
        <v/>
      </c>
    </row>
    <row r="198" spans="11:19">
      <c r="K198" t="str">
        <f t="shared" si="30"/>
        <v/>
      </c>
      <c r="L198" t="str">
        <f t="shared" si="31"/>
        <v/>
      </c>
      <c r="M198" t="str">
        <f t="shared" si="32"/>
        <v/>
      </c>
      <c r="N198">
        <v>0</v>
      </c>
      <c r="O198">
        <v>2</v>
      </c>
      <c r="P198" t="str">
        <f t="shared" si="36"/>
        <v/>
      </c>
      <c r="Q198" t="str">
        <f t="shared" si="34"/>
        <v/>
      </c>
      <c r="R198" t="str">
        <f t="shared" si="35"/>
        <v/>
      </c>
      <c r="S198" t="str">
        <f>IF(A198="","",IF(VLOOKUP(B198,Players!$A:$AF,30,FALSE)&gt;=60,"Visible","Hidden/Review"))</f>
        <v/>
      </c>
    </row>
    <row r="199" spans="11:19">
      <c r="K199" t="str">
        <f t="shared" si="30"/>
        <v/>
      </c>
      <c r="L199" t="str">
        <f t="shared" si="31"/>
        <v/>
      </c>
      <c r="M199" t="str">
        <f t="shared" si="32"/>
        <v/>
      </c>
      <c r="N199">
        <v>0</v>
      </c>
      <c r="O199">
        <v>2</v>
      </c>
      <c r="P199" t="str">
        <f t="shared" si="36"/>
        <v/>
      </c>
      <c r="Q199" t="str">
        <f t="shared" si="34"/>
        <v/>
      </c>
      <c r="R199" t="str">
        <f t="shared" si="35"/>
        <v/>
      </c>
      <c r="S199" t="str">
        <f>IF(A199="","",IF(VLOOKUP(B199,Players!$A:$AF,30,FALSE)&gt;=60,"Visible","Hidden/Review"))</f>
        <v/>
      </c>
    </row>
    <row r="200" spans="11:19">
      <c r="K200" t="str">
        <f t="shared" si="30"/>
        <v/>
      </c>
      <c r="L200" t="str">
        <f t="shared" si="31"/>
        <v/>
      </c>
      <c r="M200" t="str">
        <f t="shared" si="32"/>
        <v/>
      </c>
      <c r="N200">
        <v>0</v>
      </c>
      <c r="O200">
        <v>2</v>
      </c>
      <c r="P200" t="str">
        <f t="shared" si="36"/>
        <v/>
      </c>
      <c r="Q200" t="str">
        <f t="shared" si="34"/>
        <v/>
      </c>
      <c r="R200" t="str">
        <f t="shared" si="35"/>
        <v/>
      </c>
      <c r="S200" t="str">
        <f>IF(A200="","",IF(VLOOKUP(B200,Players!$A:$AF,30,FALSE)&gt;=60,"Visible","Hidden/Review"))</f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>
      <selection sqref="A1:J1"/>
    </sheetView>
  </sheetViews>
  <sheetFormatPr defaultRowHeight="14.25"/>
  <cols>
    <col min="1" max="1" width="7.625" customWidth="1"/>
    <col min="2" max="2" width="6.875" customWidth="1"/>
    <col min="3" max="3" width="7.875" customWidth="1"/>
    <col min="4" max="4" width="11.625" customWidth="1"/>
    <col min="5" max="5" width="10.375" customWidth="1"/>
    <col min="6" max="6" width="10.5" customWidth="1"/>
    <col min="7" max="7" width="8.375" customWidth="1"/>
    <col min="8" max="8" width="7" customWidth="1"/>
    <col min="9" max="9" width="10.125" customWidth="1"/>
    <col min="10" max="10" width="11" customWidth="1"/>
    <col min="11" max="11" width="16.625" customWidth="1"/>
    <col min="12" max="12" width="18.75" customWidth="1"/>
  </cols>
  <sheetData>
    <row r="1" spans="1:12" ht="27.95" customHeight="1">
      <c r="A1" s="17" t="s">
        <v>607</v>
      </c>
      <c r="B1" s="18"/>
      <c r="C1" s="18"/>
      <c r="D1" s="18"/>
      <c r="E1" s="18"/>
      <c r="F1" s="18"/>
      <c r="G1" s="18"/>
      <c r="H1" s="18"/>
      <c r="I1" s="18"/>
      <c r="J1" s="18"/>
    </row>
    <row r="2" spans="1:12" ht="35.1" customHeight="1">
      <c r="A2" s="19" t="s">
        <v>608</v>
      </c>
      <c r="B2" s="18"/>
      <c r="C2" s="18"/>
      <c r="D2" s="18"/>
      <c r="E2" s="18"/>
      <c r="F2" s="18"/>
      <c r="G2" s="18"/>
      <c r="H2" s="18"/>
      <c r="I2" s="18"/>
      <c r="J2" s="18"/>
    </row>
    <row r="4" spans="1:12" ht="27.95" customHeight="1">
      <c r="A4" s="6" t="s">
        <v>76</v>
      </c>
      <c r="B4" s="6" t="s">
        <v>609</v>
      </c>
      <c r="C4" s="6" t="s">
        <v>209</v>
      </c>
      <c r="D4" s="6" t="s">
        <v>305</v>
      </c>
      <c r="E4" s="6" t="s">
        <v>610</v>
      </c>
      <c r="F4" s="6" t="s">
        <v>611</v>
      </c>
      <c r="G4" s="6" t="s">
        <v>612</v>
      </c>
      <c r="H4" s="6" t="s">
        <v>613</v>
      </c>
      <c r="I4" s="6" t="s">
        <v>614</v>
      </c>
      <c r="J4" s="6" t="s">
        <v>615</v>
      </c>
      <c r="K4" s="6" t="s">
        <v>616</v>
      </c>
      <c r="L4" s="6" t="s">
        <v>84</v>
      </c>
    </row>
    <row r="5" spans="1:12" ht="28.5">
      <c r="A5" s="3" t="s">
        <v>405</v>
      </c>
      <c r="B5" s="3">
        <v>1</v>
      </c>
      <c r="C5" s="3" t="s">
        <v>242</v>
      </c>
      <c r="D5" s="3" t="s">
        <v>243</v>
      </c>
      <c r="E5" s="3">
        <v>3</v>
      </c>
      <c r="F5" s="3">
        <v>3</v>
      </c>
      <c r="G5" s="3">
        <f t="shared" ref="G5:G36" si="0">IF(A5="","",ABS(E5-F5))</f>
        <v>0</v>
      </c>
      <c r="H5" s="3" t="str">
        <f t="shared" ref="H5:H36" si="1">IF(A5="","",IF(E5=F5,"Yes","No"))</f>
        <v>Yes</v>
      </c>
      <c r="I5" s="3">
        <f t="shared" ref="I5:I36" si="2">IF(A5="","",IF(H5="Yes",10+E5,-G5*1))</f>
        <v>13</v>
      </c>
      <c r="J5" s="3">
        <f>IF(A5="","",SUMIFS($I$5:I5,$C$5:C5,C5,$A$5:A5,A5))</f>
        <v>13</v>
      </c>
      <c r="K5" s="3" t="e">
        <f ca="1">IF(A5="","",IF(J5=MAXIFS($J$5:$J$200,$A$5:$A$200,A5,$B$5:$B$200,B5),"Yes","No"))</f>
        <v>#NAME?</v>
      </c>
      <c r="L5" s="3" t="s">
        <v>617</v>
      </c>
    </row>
    <row r="6" spans="1:12" ht="28.5">
      <c r="A6" s="3" t="s">
        <v>405</v>
      </c>
      <c r="B6" s="3">
        <v>1</v>
      </c>
      <c r="C6" s="3" t="s">
        <v>259</v>
      </c>
      <c r="D6" s="3" t="s">
        <v>260</v>
      </c>
      <c r="E6" s="3">
        <v>2</v>
      </c>
      <c r="F6" s="3">
        <v>3</v>
      </c>
      <c r="G6" s="3">
        <f t="shared" si="0"/>
        <v>1</v>
      </c>
      <c r="H6" s="3" t="str">
        <f t="shared" si="1"/>
        <v>No</v>
      </c>
      <c r="I6" s="3">
        <f t="shared" si="2"/>
        <v>-1</v>
      </c>
      <c r="J6" s="3">
        <f>IF(A6="","",SUMIFS($I$5:I6,$C$5:C6,C6,$A$5:A6,A6))</f>
        <v>-1</v>
      </c>
      <c r="K6" s="3" t="e">
        <f ca="1">IF(A6="","",IF(J6=MAXIFS($J$5:$J$200,$A$5:$A$200,A6,$B$5:$B$200,B6),"Yes","No"))</f>
        <v>#NAME?</v>
      </c>
      <c r="L6" s="3" t="s">
        <v>618</v>
      </c>
    </row>
    <row r="7" spans="1:12" ht="28.5">
      <c r="A7" s="3" t="s">
        <v>405</v>
      </c>
      <c r="B7" s="3">
        <v>1</v>
      </c>
      <c r="C7" s="3" t="s">
        <v>269</v>
      </c>
      <c r="D7" s="3" t="s">
        <v>270</v>
      </c>
      <c r="E7" s="3">
        <v>4</v>
      </c>
      <c r="F7" s="3">
        <v>3</v>
      </c>
      <c r="G7" s="3">
        <f t="shared" si="0"/>
        <v>1</v>
      </c>
      <c r="H7" s="3" t="str">
        <f t="shared" si="1"/>
        <v>No</v>
      </c>
      <c r="I7" s="3">
        <f t="shared" si="2"/>
        <v>-1</v>
      </c>
      <c r="J7" s="3">
        <f>IF(A7="","",SUMIFS($I$5:I7,$C$5:C7,C7,$A$5:A7,A7))</f>
        <v>-1</v>
      </c>
      <c r="K7" s="3" t="e">
        <f ca="1">IF(A7="","",IF(J7=MAXIFS($J$5:$J$200,$A$5:$A$200,A7,$B$5:$B$200,B7),"Yes","No"))</f>
        <v>#NAME?</v>
      </c>
      <c r="L7" s="3" t="s">
        <v>618</v>
      </c>
    </row>
    <row r="8" spans="1:12" ht="28.5">
      <c r="A8" s="3" t="s">
        <v>405</v>
      </c>
      <c r="B8" s="3">
        <v>1</v>
      </c>
      <c r="C8" s="3" t="s">
        <v>281</v>
      </c>
      <c r="D8" s="3" t="s">
        <v>282</v>
      </c>
      <c r="E8" s="3">
        <v>1</v>
      </c>
      <c r="F8" s="3">
        <v>1</v>
      </c>
      <c r="G8" s="3">
        <f t="shared" si="0"/>
        <v>0</v>
      </c>
      <c r="H8" s="3" t="str">
        <f t="shared" si="1"/>
        <v>Yes</v>
      </c>
      <c r="I8" s="3">
        <f t="shared" si="2"/>
        <v>11</v>
      </c>
      <c r="J8" s="3">
        <f>IF(A8="","",SUMIFS($I$5:I8,$C$5:C8,C8,$A$5:A8,A8))</f>
        <v>11</v>
      </c>
      <c r="K8" s="3" t="e">
        <f ca="1">IF(A8="","",IF(J8=MAXIFS($J$5:$J$200,$A$5:$A$200,A8,$B$5:$B$200,B8),"Yes","No"))</f>
        <v>#NAME?</v>
      </c>
      <c r="L8" s="3" t="s">
        <v>617</v>
      </c>
    </row>
    <row r="9" spans="1:12" ht="28.5">
      <c r="A9" s="3" t="s">
        <v>405</v>
      </c>
      <c r="B9" s="3">
        <v>2</v>
      </c>
      <c r="C9" s="3" t="s">
        <v>242</v>
      </c>
      <c r="D9" s="3" t="s">
        <v>243</v>
      </c>
      <c r="E9" s="3">
        <v>2</v>
      </c>
      <c r="F9" s="3">
        <v>1</v>
      </c>
      <c r="G9" s="3">
        <f t="shared" si="0"/>
        <v>1</v>
      </c>
      <c r="H9" s="3" t="str">
        <f t="shared" si="1"/>
        <v>No</v>
      </c>
      <c r="I9" s="3">
        <f t="shared" si="2"/>
        <v>-1</v>
      </c>
      <c r="J9" s="3">
        <f>IF(A9="","",SUMIFS($I$5:I9,$C$5:C9,C9,$A$5:A9,A9))</f>
        <v>12</v>
      </c>
      <c r="K9" s="3" t="e">
        <f ca="1">IF(A9="","",IF(J9=MAXIFS($J$5:$J$200,$A$5:$A$200,A9,$B$5:$B$200,B9),"Yes","No"))</f>
        <v>#NAME?</v>
      </c>
      <c r="L9" s="3"/>
    </row>
    <row r="10" spans="1:12">
      <c r="A10" s="3" t="s">
        <v>405</v>
      </c>
      <c r="B10" s="3">
        <v>2</v>
      </c>
      <c r="C10" s="3" t="s">
        <v>259</v>
      </c>
      <c r="D10" s="3" t="s">
        <v>260</v>
      </c>
      <c r="E10" s="3">
        <v>1</v>
      </c>
      <c r="F10" s="3">
        <v>1</v>
      </c>
      <c r="G10" s="3">
        <f t="shared" si="0"/>
        <v>0</v>
      </c>
      <c r="H10" s="3" t="str">
        <f t="shared" si="1"/>
        <v>Yes</v>
      </c>
      <c r="I10" s="3">
        <f t="shared" si="2"/>
        <v>11</v>
      </c>
      <c r="J10" s="3">
        <f>IF(A10="","",SUMIFS($I$5:I10,$C$5:C10,C10,$A$5:A10,A10))</f>
        <v>10</v>
      </c>
      <c r="K10" s="3" t="e">
        <f ca="1">IF(A10="","",IF(J10=MAXIFS($J$5:$J$200,$A$5:$A$200,A10,$B$5:$B$200,B10),"Yes","No"))</f>
        <v>#NAME?</v>
      </c>
      <c r="L10" s="3"/>
    </row>
    <row r="11" spans="1:12" ht="28.5">
      <c r="A11" s="3" t="s">
        <v>405</v>
      </c>
      <c r="B11" s="3">
        <v>2</v>
      </c>
      <c r="C11" s="3" t="s">
        <v>269</v>
      </c>
      <c r="D11" s="3" t="s">
        <v>270</v>
      </c>
      <c r="E11" s="3">
        <v>3</v>
      </c>
      <c r="F11" s="3">
        <v>1</v>
      </c>
      <c r="G11" s="3">
        <f t="shared" si="0"/>
        <v>2</v>
      </c>
      <c r="H11" s="3" t="str">
        <f t="shared" si="1"/>
        <v>No</v>
      </c>
      <c r="I11" s="3">
        <f t="shared" si="2"/>
        <v>-2</v>
      </c>
      <c r="J11" s="3">
        <f>IF(A11="","",SUMIFS($I$5:I11,$C$5:C11,C11,$A$5:A11,A11))</f>
        <v>-3</v>
      </c>
      <c r="K11" s="3" t="e">
        <f ca="1">IF(A11="","",IF(J11=MAXIFS($J$5:$J$200,$A$5:$A$200,A11,$B$5:$B$200,B11),"Yes","No"))</f>
        <v>#NAME?</v>
      </c>
      <c r="L11" s="3"/>
    </row>
    <row r="12" spans="1:12">
      <c r="A12" s="3" t="s">
        <v>405</v>
      </c>
      <c r="B12" s="3">
        <v>2</v>
      </c>
      <c r="C12" s="3" t="s">
        <v>281</v>
      </c>
      <c r="D12" s="3" t="s">
        <v>282</v>
      </c>
      <c r="E12" s="3">
        <v>1</v>
      </c>
      <c r="F12" s="3">
        <v>1</v>
      </c>
      <c r="G12" s="3">
        <f t="shared" si="0"/>
        <v>0</v>
      </c>
      <c r="H12" s="3" t="str">
        <f t="shared" si="1"/>
        <v>Yes</v>
      </c>
      <c r="I12" s="3">
        <f t="shared" si="2"/>
        <v>11</v>
      </c>
      <c r="J12" s="3">
        <f>IF(A12="","",SUMIFS($I$5:I12,$C$5:C12,C12,$A$5:A12,A12))</f>
        <v>22</v>
      </c>
      <c r="K12" s="3" t="e">
        <f ca="1">IF(A12="","",IF(J12=MAXIFS($J$5:$J$200,$A$5:$A$200,A12,$B$5:$B$200,B12),"Yes","No"))</f>
        <v>#NAME?</v>
      </c>
      <c r="L12" s="3"/>
    </row>
    <row r="13" spans="1:12"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>IF(A13="","",SUMIFS($I$5:I13,$C$5:C13,C13,$A$5:A13,A13))</f>
        <v/>
      </c>
      <c r="K13" t="str">
        <f>IF(A13="","",IF(J13=MAXIFS($J$5:$J$200,$A$5:$A$200,A13,$B$5:$B$200,B13),"Yes","No"))</f>
        <v/>
      </c>
    </row>
    <row r="14" spans="1:12"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>IF(A14="","",SUMIFS($I$5:I14,$C$5:C14,C14,$A$5:A14,A14))</f>
        <v/>
      </c>
      <c r="K14" t="str">
        <f>IF(A14="","",IF(J14=MAXIFS($J$5:$J$200,$A$5:$A$200,A14,$B$5:$B$200,B14),"Yes","No"))</f>
        <v/>
      </c>
    </row>
    <row r="15" spans="1:12"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>IF(A15="","",SUMIFS($I$5:I15,$C$5:C15,C15,$A$5:A15,A15))</f>
        <v/>
      </c>
      <c r="K15" t="str">
        <f>IF(A15="","",IF(J15=MAXIFS($J$5:$J$200,$A$5:$A$200,A15,$B$5:$B$200,B15),"Yes","No"))</f>
        <v/>
      </c>
    </row>
    <row r="16" spans="1:12"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>IF(A16="","",SUMIFS($I$5:I16,$C$5:C16,C16,$A$5:A16,A16))</f>
        <v/>
      </c>
      <c r="K16" t="str">
        <f>IF(A16="","",IF(J16=MAXIFS($J$5:$J$200,$A$5:$A$200,A16,$B$5:$B$200,B16),"Yes","No"))</f>
        <v/>
      </c>
    </row>
    <row r="17" spans="7:11"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>IF(A17="","",SUMIFS($I$5:I17,$C$5:C17,C17,$A$5:A17,A17))</f>
        <v/>
      </c>
      <c r="K17" t="str">
        <f>IF(A17="","",IF(J17=MAXIFS($J$5:$J$200,$A$5:$A$200,A17,$B$5:$B$200,B17),"Yes","No"))</f>
        <v/>
      </c>
    </row>
    <row r="18" spans="7:11"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>IF(A18="","",SUMIFS($I$5:I18,$C$5:C18,C18,$A$5:A18,A18))</f>
        <v/>
      </c>
      <c r="K18" t="str">
        <f>IF(A18="","",IF(J18=MAXIFS($J$5:$J$200,$A$5:$A$200,A18,$B$5:$B$200,B18),"Yes","No"))</f>
        <v/>
      </c>
    </row>
    <row r="19" spans="7:11"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>IF(A19="","",SUMIFS($I$5:I19,$C$5:C19,C19,$A$5:A19,A19))</f>
        <v/>
      </c>
      <c r="K19" t="str">
        <f>IF(A19="","",IF(J19=MAXIFS($J$5:$J$200,$A$5:$A$200,A19,$B$5:$B$200,B19),"Yes","No"))</f>
        <v/>
      </c>
    </row>
    <row r="20" spans="7:11"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>IF(A20="","",SUMIFS($I$5:I20,$C$5:C20,C20,$A$5:A20,A20))</f>
        <v/>
      </c>
      <c r="K20" t="str">
        <f>IF(A20="","",IF(J20=MAXIFS($J$5:$J$200,$A$5:$A$200,A20,$B$5:$B$200,B20),"Yes","No"))</f>
        <v/>
      </c>
    </row>
    <row r="21" spans="7:11"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>IF(A21="","",SUMIFS($I$5:I21,$C$5:C21,C21,$A$5:A21,A21))</f>
        <v/>
      </c>
      <c r="K21" t="str">
        <f>IF(A21="","",IF(J21=MAXIFS($J$5:$J$200,$A$5:$A$200,A21,$B$5:$B$200,B21),"Yes","No"))</f>
        <v/>
      </c>
    </row>
    <row r="22" spans="7:11"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>IF(A22="","",SUMIFS($I$5:I22,$C$5:C22,C22,$A$5:A22,A22))</f>
        <v/>
      </c>
      <c r="K22" t="str">
        <f>IF(A22="","",IF(J22=MAXIFS($J$5:$J$200,$A$5:$A$200,A22,$B$5:$B$200,B22),"Yes","No"))</f>
        <v/>
      </c>
    </row>
    <row r="23" spans="7:11"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>IF(A23="","",SUMIFS($I$5:I23,$C$5:C23,C23,$A$5:A23,A23))</f>
        <v/>
      </c>
      <c r="K23" t="str">
        <f>IF(A23="","",IF(J23=MAXIFS($J$5:$J$200,$A$5:$A$200,A23,$B$5:$B$200,B23),"Yes","No"))</f>
        <v/>
      </c>
    </row>
    <row r="24" spans="7:11"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>IF(A24="","",SUMIFS($I$5:I24,$C$5:C24,C24,$A$5:A24,A24))</f>
        <v/>
      </c>
      <c r="K24" t="str">
        <f>IF(A24="","",IF(J24=MAXIFS($J$5:$J$200,$A$5:$A$200,A24,$B$5:$B$200,B24),"Yes","No"))</f>
        <v/>
      </c>
    </row>
    <row r="25" spans="7:11"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>IF(A25="","",SUMIFS($I$5:I25,$C$5:C25,C25,$A$5:A25,A25))</f>
        <v/>
      </c>
      <c r="K25" t="str">
        <f>IF(A25="","",IF(J25=MAXIFS($J$5:$J$200,$A$5:$A$200,A25,$B$5:$B$200,B25),"Yes","No"))</f>
        <v/>
      </c>
    </row>
    <row r="26" spans="7:11"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>IF(A26="","",SUMIFS($I$5:I26,$C$5:C26,C26,$A$5:A26,A26))</f>
        <v/>
      </c>
      <c r="K26" t="str">
        <f>IF(A26="","",IF(J26=MAXIFS($J$5:$J$200,$A$5:$A$200,A26,$B$5:$B$200,B26),"Yes","No"))</f>
        <v/>
      </c>
    </row>
    <row r="27" spans="7:11"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>IF(A27="","",SUMIFS($I$5:I27,$C$5:C27,C27,$A$5:A27,A27))</f>
        <v/>
      </c>
      <c r="K27" t="str">
        <f>IF(A27="","",IF(J27=MAXIFS($J$5:$J$200,$A$5:$A$200,A27,$B$5:$B$200,B27),"Yes","No"))</f>
        <v/>
      </c>
    </row>
    <row r="28" spans="7:11"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>IF(A28="","",SUMIFS($I$5:I28,$C$5:C28,C28,$A$5:A28,A28))</f>
        <v/>
      </c>
      <c r="K28" t="str">
        <f>IF(A28="","",IF(J28=MAXIFS($J$5:$J$200,$A$5:$A$200,A28,$B$5:$B$200,B28),"Yes","No"))</f>
        <v/>
      </c>
    </row>
    <row r="29" spans="7:11"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>IF(A29="","",SUMIFS($I$5:I29,$C$5:C29,C29,$A$5:A29,A29))</f>
        <v/>
      </c>
      <c r="K29" t="str">
        <f>IF(A29="","",IF(J29=MAXIFS($J$5:$J$200,$A$5:$A$200,A29,$B$5:$B$200,B29),"Yes","No"))</f>
        <v/>
      </c>
    </row>
    <row r="30" spans="7:11"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>IF(A30="","",SUMIFS($I$5:I30,$C$5:C30,C30,$A$5:A30,A30))</f>
        <v/>
      </c>
      <c r="K30" t="str">
        <f>IF(A30="","",IF(J30=MAXIFS($J$5:$J$200,$A$5:$A$200,A30,$B$5:$B$200,B30),"Yes","No"))</f>
        <v/>
      </c>
    </row>
    <row r="31" spans="7:11"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>IF(A31="","",SUMIFS($I$5:I31,$C$5:C31,C31,$A$5:A31,A31))</f>
        <v/>
      </c>
      <c r="K31" t="str">
        <f>IF(A31="","",IF(J31=MAXIFS($J$5:$J$200,$A$5:$A$200,A31,$B$5:$B$200,B31),"Yes","No"))</f>
        <v/>
      </c>
    </row>
    <row r="32" spans="7:11"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>IF(A32="","",SUMIFS($I$5:I32,$C$5:C32,C32,$A$5:A32,A32))</f>
        <v/>
      </c>
      <c r="K32" t="str">
        <f>IF(A32="","",IF(J32=MAXIFS($J$5:$J$200,$A$5:$A$200,A32,$B$5:$B$200,B32),"Yes","No"))</f>
        <v/>
      </c>
    </row>
    <row r="33" spans="7:11"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>IF(A33="","",SUMIFS($I$5:I33,$C$5:C33,C33,$A$5:A33,A33))</f>
        <v/>
      </c>
      <c r="K33" t="str">
        <f>IF(A33="","",IF(J33=MAXIFS($J$5:$J$200,$A$5:$A$200,A33,$B$5:$B$200,B33),"Yes","No"))</f>
        <v/>
      </c>
    </row>
    <row r="34" spans="7:11"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>IF(A34="","",SUMIFS($I$5:I34,$C$5:C34,C34,$A$5:A34,A34))</f>
        <v/>
      </c>
      <c r="K34" t="str">
        <f>IF(A34="","",IF(J34=MAXIFS($J$5:$J$200,$A$5:$A$200,A34,$B$5:$B$200,B34),"Yes","No"))</f>
        <v/>
      </c>
    </row>
    <row r="35" spans="7:11"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>IF(A35="","",SUMIFS($I$5:I35,$C$5:C35,C35,$A$5:A35,A35))</f>
        <v/>
      </c>
      <c r="K35" t="str">
        <f>IF(A35="","",IF(J35=MAXIFS($J$5:$J$200,$A$5:$A$200,A35,$B$5:$B$200,B35),"Yes","No"))</f>
        <v/>
      </c>
    </row>
    <row r="36" spans="7:11"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>IF(A36="","",SUMIFS($I$5:I36,$C$5:C36,C36,$A$5:A36,A36))</f>
        <v/>
      </c>
      <c r="K36" t="str">
        <f>IF(A36="","",IF(J36=MAXIFS($J$5:$J$200,$A$5:$A$200,A36,$B$5:$B$200,B36),"Yes","No"))</f>
        <v/>
      </c>
    </row>
    <row r="37" spans="7:11">
      <c r="G37" t="str">
        <f t="shared" ref="G37:G68" si="3">IF(A37="","",ABS(E37-F37))</f>
        <v/>
      </c>
      <c r="H37" t="str">
        <f t="shared" ref="H37:H68" si="4">IF(A37="","",IF(E37=F37,"Yes","No"))</f>
        <v/>
      </c>
      <c r="I37" t="str">
        <f t="shared" ref="I37:I68" si="5">IF(A37="","",IF(H37="Yes",10+E37,-G37*1))</f>
        <v/>
      </c>
      <c r="J37" t="str">
        <f>IF(A37="","",SUMIFS($I$5:I37,$C$5:C37,C37,$A$5:A37,A37))</f>
        <v/>
      </c>
      <c r="K37" t="str">
        <f>IF(A37="","",IF(J37=MAXIFS($J$5:$J$200,$A$5:$A$200,A37,$B$5:$B$200,B37),"Yes","No"))</f>
        <v/>
      </c>
    </row>
    <row r="38" spans="7:11">
      <c r="G38" t="str">
        <f t="shared" si="3"/>
        <v/>
      </c>
      <c r="H38" t="str">
        <f t="shared" si="4"/>
        <v/>
      </c>
      <c r="I38" t="str">
        <f t="shared" si="5"/>
        <v/>
      </c>
      <c r="J38" t="str">
        <f>IF(A38="","",SUMIFS($I$5:I38,$C$5:C38,C38,$A$5:A38,A38))</f>
        <v/>
      </c>
      <c r="K38" t="str">
        <f>IF(A38="","",IF(J38=MAXIFS($J$5:$J$200,$A$5:$A$200,A38,$B$5:$B$200,B38),"Yes","No"))</f>
        <v/>
      </c>
    </row>
    <row r="39" spans="7:11">
      <c r="G39" t="str">
        <f t="shared" si="3"/>
        <v/>
      </c>
      <c r="H39" t="str">
        <f t="shared" si="4"/>
        <v/>
      </c>
      <c r="I39" t="str">
        <f t="shared" si="5"/>
        <v/>
      </c>
      <c r="J39" t="str">
        <f>IF(A39="","",SUMIFS($I$5:I39,$C$5:C39,C39,$A$5:A39,A39))</f>
        <v/>
      </c>
      <c r="K39" t="str">
        <f>IF(A39="","",IF(J39=MAXIFS($J$5:$J$200,$A$5:$A$200,A39,$B$5:$B$200,B39),"Yes","No"))</f>
        <v/>
      </c>
    </row>
    <row r="40" spans="7:11">
      <c r="G40" t="str">
        <f t="shared" si="3"/>
        <v/>
      </c>
      <c r="H40" t="str">
        <f t="shared" si="4"/>
        <v/>
      </c>
      <c r="I40" t="str">
        <f t="shared" si="5"/>
        <v/>
      </c>
      <c r="J40" t="str">
        <f>IF(A40="","",SUMIFS($I$5:I40,$C$5:C40,C40,$A$5:A40,A40))</f>
        <v/>
      </c>
      <c r="K40" t="str">
        <f>IF(A40="","",IF(J40=MAXIFS($J$5:$J$200,$A$5:$A$200,A40,$B$5:$B$200,B40),"Yes","No"))</f>
        <v/>
      </c>
    </row>
    <row r="41" spans="7:11">
      <c r="G41" t="str">
        <f t="shared" si="3"/>
        <v/>
      </c>
      <c r="H41" t="str">
        <f t="shared" si="4"/>
        <v/>
      </c>
      <c r="I41" t="str">
        <f t="shared" si="5"/>
        <v/>
      </c>
      <c r="J41" t="str">
        <f>IF(A41="","",SUMIFS($I$5:I41,$C$5:C41,C41,$A$5:A41,A41))</f>
        <v/>
      </c>
      <c r="K41" t="str">
        <f>IF(A41="","",IF(J41=MAXIFS($J$5:$J$200,$A$5:$A$200,A41,$B$5:$B$200,B41),"Yes","No"))</f>
        <v/>
      </c>
    </row>
    <row r="42" spans="7:11">
      <c r="G42" t="str">
        <f t="shared" si="3"/>
        <v/>
      </c>
      <c r="H42" t="str">
        <f t="shared" si="4"/>
        <v/>
      </c>
      <c r="I42" t="str">
        <f t="shared" si="5"/>
        <v/>
      </c>
      <c r="J42" t="str">
        <f>IF(A42="","",SUMIFS($I$5:I42,$C$5:C42,C42,$A$5:A42,A42))</f>
        <v/>
      </c>
      <c r="K42" t="str">
        <f>IF(A42="","",IF(J42=MAXIFS($J$5:$J$200,$A$5:$A$200,A42,$B$5:$B$200,B42),"Yes","No"))</f>
        <v/>
      </c>
    </row>
    <row r="43" spans="7:11">
      <c r="G43" t="str">
        <f t="shared" si="3"/>
        <v/>
      </c>
      <c r="H43" t="str">
        <f t="shared" si="4"/>
        <v/>
      </c>
      <c r="I43" t="str">
        <f t="shared" si="5"/>
        <v/>
      </c>
      <c r="J43" t="str">
        <f>IF(A43="","",SUMIFS($I$5:I43,$C$5:C43,C43,$A$5:A43,A43))</f>
        <v/>
      </c>
      <c r="K43" t="str">
        <f>IF(A43="","",IF(J43=MAXIFS($J$5:$J$200,$A$5:$A$200,A43,$B$5:$B$200,B43),"Yes","No"))</f>
        <v/>
      </c>
    </row>
    <row r="44" spans="7:11">
      <c r="G44" t="str">
        <f t="shared" si="3"/>
        <v/>
      </c>
      <c r="H44" t="str">
        <f t="shared" si="4"/>
        <v/>
      </c>
      <c r="I44" t="str">
        <f t="shared" si="5"/>
        <v/>
      </c>
      <c r="J44" t="str">
        <f>IF(A44="","",SUMIFS($I$5:I44,$C$5:C44,C44,$A$5:A44,A44))</f>
        <v/>
      </c>
      <c r="K44" t="str">
        <f>IF(A44="","",IF(J44=MAXIFS($J$5:$J$200,$A$5:$A$200,A44,$B$5:$B$200,B44),"Yes","No"))</f>
        <v/>
      </c>
    </row>
    <row r="45" spans="7:11">
      <c r="G45" t="str">
        <f t="shared" si="3"/>
        <v/>
      </c>
      <c r="H45" t="str">
        <f t="shared" si="4"/>
        <v/>
      </c>
      <c r="I45" t="str">
        <f t="shared" si="5"/>
        <v/>
      </c>
      <c r="J45" t="str">
        <f>IF(A45="","",SUMIFS($I$5:I45,$C$5:C45,C45,$A$5:A45,A45))</f>
        <v/>
      </c>
      <c r="K45" t="str">
        <f>IF(A45="","",IF(J45=MAXIFS($J$5:$J$200,$A$5:$A$200,A45,$B$5:$B$200,B45),"Yes","No"))</f>
        <v/>
      </c>
    </row>
    <row r="46" spans="7:11">
      <c r="G46" t="str">
        <f t="shared" si="3"/>
        <v/>
      </c>
      <c r="H46" t="str">
        <f t="shared" si="4"/>
        <v/>
      </c>
      <c r="I46" t="str">
        <f t="shared" si="5"/>
        <v/>
      </c>
      <c r="J46" t="str">
        <f>IF(A46="","",SUMIFS($I$5:I46,$C$5:C46,C46,$A$5:A46,A46))</f>
        <v/>
      </c>
      <c r="K46" t="str">
        <f>IF(A46="","",IF(J46=MAXIFS($J$5:$J$200,$A$5:$A$200,A46,$B$5:$B$200,B46),"Yes","No"))</f>
        <v/>
      </c>
    </row>
    <row r="47" spans="7:11">
      <c r="G47" t="str">
        <f t="shared" si="3"/>
        <v/>
      </c>
      <c r="H47" t="str">
        <f t="shared" si="4"/>
        <v/>
      </c>
      <c r="I47" t="str">
        <f t="shared" si="5"/>
        <v/>
      </c>
      <c r="J47" t="str">
        <f>IF(A47="","",SUMIFS($I$5:I47,$C$5:C47,C47,$A$5:A47,A47))</f>
        <v/>
      </c>
      <c r="K47" t="str">
        <f>IF(A47="","",IF(J47=MAXIFS($J$5:$J$200,$A$5:$A$200,A47,$B$5:$B$200,B47),"Yes","No"))</f>
        <v/>
      </c>
    </row>
    <row r="48" spans="7:11">
      <c r="G48" t="str">
        <f t="shared" si="3"/>
        <v/>
      </c>
      <c r="H48" t="str">
        <f t="shared" si="4"/>
        <v/>
      </c>
      <c r="I48" t="str">
        <f t="shared" si="5"/>
        <v/>
      </c>
      <c r="J48" t="str">
        <f>IF(A48="","",SUMIFS($I$5:I48,$C$5:C48,C48,$A$5:A48,A48))</f>
        <v/>
      </c>
      <c r="K48" t="str">
        <f>IF(A48="","",IF(J48=MAXIFS($J$5:$J$200,$A$5:$A$200,A48,$B$5:$B$200,B48),"Yes","No"))</f>
        <v/>
      </c>
    </row>
    <row r="49" spans="7:11">
      <c r="G49" t="str">
        <f t="shared" si="3"/>
        <v/>
      </c>
      <c r="H49" t="str">
        <f t="shared" si="4"/>
        <v/>
      </c>
      <c r="I49" t="str">
        <f t="shared" si="5"/>
        <v/>
      </c>
      <c r="J49" t="str">
        <f>IF(A49="","",SUMIFS($I$5:I49,$C$5:C49,C49,$A$5:A49,A49))</f>
        <v/>
      </c>
      <c r="K49" t="str">
        <f>IF(A49="","",IF(J49=MAXIFS($J$5:$J$200,$A$5:$A$200,A49,$B$5:$B$200,B49),"Yes","No"))</f>
        <v/>
      </c>
    </row>
    <row r="50" spans="7:11">
      <c r="G50" t="str">
        <f t="shared" si="3"/>
        <v/>
      </c>
      <c r="H50" t="str">
        <f t="shared" si="4"/>
        <v/>
      </c>
      <c r="I50" t="str">
        <f t="shared" si="5"/>
        <v/>
      </c>
      <c r="J50" t="str">
        <f>IF(A50="","",SUMIFS($I$5:I50,$C$5:C50,C50,$A$5:A50,A50))</f>
        <v/>
      </c>
      <c r="K50" t="str">
        <f>IF(A50="","",IF(J50=MAXIFS($J$5:$J$200,$A$5:$A$200,A50,$B$5:$B$200,B50),"Yes","No"))</f>
        <v/>
      </c>
    </row>
    <row r="51" spans="7:11">
      <c r="G51" t="str">
        <f t="shared" si="3"/>
        <v/>
      </c>
      <c r="H51" t="str">
        <f t="shared" si="4"/>
        <v/>
      </c>
      <c r="I51" t="str">
        <f t="shared" si="5"/>
        <v/>
      </c>
      <c r="J51" t="str">
        <f>IF(A51="","",SUMIFS($I$5:I51,$C$5:C51,C51,$A$5:A51,A51))</f>
        <v/>
      </c>
      <c r="K51" t="str">
        <f>IF(A51="","",IF(J51=MAXIFS($J$5:$J$200,$A$5:$A$200,A51,$B$5:$B$200,B51),"Yes","No"))</f>
        <v/>
      </c>
    </row>
    <row r="52" spans="7:11">
      <c r="G52" t="str">
        <f t="shared" si="3"/>
        <v/>
      </c>
      <c r="H52" t="str">
        <f t="shared" si="4"/>
        <v/>
      </c>
      <c r="I52" t="str">
        <f t="shared" si="5"/>
        <v/>
      </c>
      <c r="J52" t="str">
        <f>IF(A52="","",SUMIFS($I$5:I52,$C$5:C52,C52,$A$5:A52,A52))</f>
        <v/>
      </c>
      <c r="K52" t="str">
        <f>IF(A52="","",IF(J52=MAXIFS($J$5:$J$200,$A$5:$A$200,A52,$B$5:$B$200,B52),"Yes","No"))</f>
        <v/>
      </c>
    </row>
    <row r="53" spans="7:11">
      <c r="G53" t="str">
        <f t="shared" si="3"/>
        <v/>
      </c>
      <c r="H53" t="str">
        <f t="shared" si="4"/>
        <v/>
      </c>
      <c r="I53" t="str">
        <f t="shared" si="5"/>
        <v/>
      </c>
      <c r="J53" t="str">
        <f>IF(A53="","",SUMIFS($I$5:I53,$C$5:C53,C53,$A$5:A53,A53))</f>
        <v/>
      </c>
      <c r="K53" t="str">
        <f>IF(A53="","",IF(J53=MAXIFS($J$5:$J$200,$A$5:$A$200,A53,$B$5:$B$200,B53),"Yes","No"))</f>
        <v/>
      </c>
    </row>
    <row r="54" spans="7:11">
      <c r="G54" t="str">
        <f t="shared" si="3"/>
        <v/>
      </c>
      <c r="H54" t="str">
        <f t="shared" si="4"/>
        <v/>
      </c>
      <c r="I54" t="str">
        <f t="shared" si="5"/>
        <v/>
      </c>
      <c r="J54" t="str">
        <f>IF(A54="","",SUMIFS($I$5:I54,$C$5:C54,C54,$A$5:A54,A54))</f>
        <v/>
      </c>
      <c r="K54" t="str">
        <f>IF(A54="","",IF(J54=MAXIFS($J$5:$J$200,$A$5:$A$200,A54,$B$5:$B$200,B54),"Yes","No"))</f>
        <v/>
      </c>
    </row>
    <row r="55" spans="7:11">
      <c r="G55" t="str">
        <f t="shared" si="3"/>
        <v/>
      </c>
      <c r="H55" t="str">
        <f t="shared" si="4"/>
        <v/>
      </c>
      <c r="I55" t="str">
        <f t="shared" si="5"/>
        <v/>
      </c>
      <c r="J55" t="str">
        <f>IF(A55="","",SUMIFS($I$5:I55,$C$5:C55,C55,$A$5:A55,A55))</f>
        <v/>
      </c>
      <c r="K55" t="str">
        <f>IF(A55="","",IF(J55=MAXIFS($J$5:$J$200,$A$5:$A$200,A55,$B$5:$B$200,B55),"Yes","No"))</f>
        <v/>
      </c>
    </row>
    <row r="56" spans="7:11">
      <c r="G56" t="str">
        <f t="shared" si="3"/>
        <v/>
      </c>
      <c r="H56" t="str">
        <f t="shared" si="4"/>
        <v/>
      </c>
      <c r="I56" t="str">
        <f t="shared" si="5"/>
        <v/>
      </c>
      <c r="J56" t="str">
        <f>IF(A56="","",SUMIFS($I$5:I56,$C$5:C56,C56,$A$5:A56,A56))</f>
        <v/>
      </c>
      <c r="K56" t="str">
        <f>IF(A56="","",IF(J56=MAXIFS($J$5:$J$200,$A$5:$A$200,A56,$B$5:$B$200,B56),"Yes","No"))</f>
        <v/>
      </c>
    </row>
    <row r="57" spans="7:11">
      <c r="G57" t="str">
        <f t="shared" si="3"/>
        <v/>
      </c>
      <c r="H57" t="str">
        <f t="shared" si="4"/>
        <v/>
      </c>
      <c r="I57" t="str">
        <f t="shared" si="5"/>
        <v/>
      </c>
      <c r="J57" t="str">
        <f>IF(A57="","",SUMIFS($I$5:I57,$C$5:C57,C57,$A$5:A57,A57))</f>
        <v/>
      </c>
      <c r="K57" t="str">
        <f>IF(A57="","",IF(J57=MAXIFS($J$5:$J$200,$A$5:$A$200,A57,$B$5:$B$200,B57),"Yes","No"))</f>
        <v/>
      </c>
    </row>
    <row r="58" spans="7:11">
      <c r="G58" t="str">
        <f t="shared" si="3"/>
        <v/>
      </c>
      <c r="H58" t="str">
        <f t="shared" si="4"/>
        <v/>
      </c>
      <c r="I58" t="str">
        <f t="shared" si="5"/>
        <v/>
      </c>
      <c r="J58" t="str">
        <f>IF(A58="","",SUMIFS($I$5:I58,$C$5:C58,C58,$A$5:A58,A58))</f>
        <v/>
      </c>
      <c r="K58" t="str">
        <f>IF(A58="","",IF(J58=MAXIFS($J$5:$J$200,$A$5:$A$200,A58,$B$5:$B$200,B58),"Yes","No"))</f>
        <v/>
      </c>
    </row>
    <row r="59" spans="7:11">
      <c r="G59" t="str">
        <f t="shared" si="3"/>
        <v/>
      </c>
      <c r="H59" t="str">
        <f t="shared" si="4"/>
        <v/>
      </c>
      <c r="I59" t="str">
        <f t="shared" si="5"/>
        <v/>
      </c>
      <c r="J59" t="str">
        <f>IF(A59="","",SUMIFS($I$5:I59,$C$5:C59,C59,$A$5:A59,A59))</f>
        <v/>
      </c>
      <c r="K59" t="str">
        <f>IF(A59="","",IF(J59=MAXIFS($J$5:$J$200,$A$5:$A$200,A59,$B$5:$B$200,B59),"Yes","No"))</f>
        <v/>
      </c>
    </row>
    <row r="60" spans="7:11">
      <c r="G60" t="str">
        <f t="shared" si="3"/>
        <v/>
      </c>
      <c r="H60" t="str">
        <f t="shared" si="4"/>
        <v/>
      </c>
      <c r="I60" t="str">
        <f t="shared" si="5"/>
        <v/>
      </c>
      <c r="J60" t="str">
        <f>IF(A60="","",SUMIFS($I$5:I60,$C$5:C60,C60,$A$5:A60,A60))</f>
        <v/>
      </c>
      <c r="K60" t="str">
        <f>IF(A60="","",IF(J60=MAXIFS($J$5:$J$200,$A$5:$A$200,A60,$B$5:$B$200,B60),"Yes","No"))</f>
        <v/>
      </c>
    </row>
    <row r="61" spans="7:11">
      <c r="G61" t="str">
        <f t="shared" si="3"/>
        <v/>
      </c>
      <c r="H61" t="str">
        <f t="shared" si="4"/>
        <v/>
      </c>
      <c r="I61" t="str">
        <f t="shared" si="5"/>
        <v/>
      </c>
      <c r="J61" t="str">
        <f>IF(A61="","",SUMIFS($I$5:I61,$C$5:C61,C61,$A$5:A61,A61))</f>
        <v/>
      </c>
      <c r="K61" t="str">
        <f>IF(A61="","",IF(J61=MAXIFS($J$5:$J$200,$A$5:$A$200,A61,$B$5:$B$200,B61),"Yes","No"))</f>
        <v/>
      </c>
    </row>
    <row r="62" spans="7:11">
      <c r="G62" t="str">
        <f t="shared" si="3"/>
        <v/>
      </c>
      <c r="H62" t="str">
        <f t="shared" si="4"/>
        <v/>
      </c>
      <c r="I62" t="str">
        <f t="shared" si="5"/>
        <v/>
      </c>
      <c r="J62" t="str">
        <f>IF(A62="","",SUMIFS($I$5:I62,$C$5:C62,C62,$A$5:A62,A62))</f>
        <v/>
      </c>
      <c r="K62" t="str">
        <f>IF(A62="","",IF(J62=MAXIFS($J$5:$J$200,$A$5:$A$200,A62,$B$5:$B$200,B62),"Yes","No"))</f>
        <v/>
      </c>
    </row>
    <row r="63" spans="7:11">
      <c r="G63" t="str">
        <f t="shared" si="3"/>
        <v/>
      </c>
      <c r="H63" t="str">
        <f t="shared" si="4"/>
        <v/>
      </c>
      <c r="I63" t="str">
        <f t="shared" si="5"/>
        <v/>
      </c>
      <c r="J63" t="str">
        <f>IF(A63="","",SUMIFS($I$5:I63,$C$5:C63,C63,$A$5:A63,A63))</f>
        <v/>
      </c>
      <c r="K63" t="str">
        <f>IF(A63="","",IF(J63=MAXIFS($J$5:$J$200,$A$5:$A$200,A63,$B$5:$B$200,B63),"Yes","No"))</f>
        <v/>
      </c>
    </row>
    <row r="64" spans="7:11">
      <c r="G64" t="str">
        <f t="shared" si="3"/>
        <v/>
      </c>
      <c r="H64" t="str">
        <f t="shared" si="4"/>
        <v/>
      </c>
      <c r="I64" t="str">
        <f t="shared" si="5"/>
        <v/>
      </c>
      <c r="J64" t="str">
        <f>IF(A64="","",SUMIFS($I$5:I64,$C$5:C64,C64,$A$5:A64,A64))</f>
        <v/>
      </c>
      <c r="K64" t="str">
        <f>IF(A64="","",IF(J64=MAXIFS($J$5:$J$200,$A$5:$A$200,A64,$B$5:$B$200,B64),"Yes","No"))</f>
        <v/>
      </c>
    </row>
    <row r="65" spans="7:11">
      <c r="G65" t="str">
        <f t="shared" si="3"/>
        <v/>
      </c>
      <c r="H65" t="str">
        <f t="shared" si="4"/>
        <v/>
      </c>
      <c r="I65" t="str">
        <f t="shared" si="5"/>
        <v/>
      </c>
      <c r="J65" t="str">
        <f>IF(A65="","",SUMIFS($I$5:I65,$C$5:C65,C65,$A$5:A65,A65))</f>
        <v/>
      </c>
      <c r="K65" t="str">
        <f>IF(A65="","",IF(J65=MAXIFS($J$5:$J$200,$A$5:$A$200,A65,$B$5:$B$200,B65),"Yes","No"))</f>
        <v/>
      </c>
    </row>
    <row r="66" spans="7:11">
      <c r="G66" t="str">
        <f t="shared" si="3"/>
        <v/>
      </c>
      <c r="H66" t="str">
        <f t="shared" si="4"/>
        <v/>
      </c>
      <c r="I66" t="str">
        <f t="shared" si="5"/>
        <v/>
      </c>
      <c r="J66" t="str">
        <f>IF(A66="","",SUMIFS($I$5:I66,$C$5:C66,C66,$A$5:A66,A66))</f>
        <v/>
      </c>
      <c r="K66" t="str">
        <f>IF(A66="","",IF(J66=MAXIFS($J$5:$J$200,$A$5:$A$200,A66,$B$5:$B$200,B66),"Yes","No"))</f>
        <v/>
      </c>
    </row>
    <row r="67" spans="7:11">
      <c r="G67" t="str">
        <f t="shared" si="3"/>
        <v/>
      </c>
      <c r="H67" t="str">
        <f t="shared" si="4"/>
        <v/>
      </c>
      <c r="I67" t="str">
        <f t="shared" si="5"/>
        <v/>
      </c>
      <c r="J67" t="str">
        <f>IF(A67="","",SUMIFS($I$5:I67,$C$5:C67,C67,$A$5:A67,A67))</f>
        <v/>
      </c>
      <c r="K67" t="str">
        <f>IF(A67="","",IF(J67=MAXIFS($J$5:$J$200,$A$5:$A$200,A67,$B$5:$B$200,B67),"Yes","No"))</f>
        <v/>
      </c>
    </row>
    <row r="68" spans="7:11">
      <c r="G68" t="str">
        <f t="shared" si="3"/>
        <v/>
      </c>
      <c r="H68" t="str">
        <f t="shared" si="4"/>
        <v/>
      </c>
      <c r="I68" t="str">
        <f t="shared" si="5"/>
        <v/>
      </c>
      <c r="J68" t="str">
        <f>IF(A68="","",SUMIFS($I$5:I68,$C$5:C68,C68,$A$5:A68,A68))</f>
        <v/>
      </c>
      <c r="K68" t="str">
        <f>IF(A68="","",IF(J68=MAXIFS($J$5:$J$200,$A$5:$A$200,A68,$B$5:$B$200,B68),"Yes","No"))</f>
        <v/>
      </c>
    </row>
    <row r="69" spans="7:11">
      <c r="G69" t="str">
        <f t="shared" ref="G69:G100" si="6">IF(A69="","",ABS(E69-F69))</f>
        <v/>
      </c>
      <c r="H69" t="str">
        <f t="shared" ref="H69:H100" si="7">IF(A69="","",IF(E69=F69,"Yes","No"))</f>
        <v/>
      </c>
      <c r="I69" t="str">
        <f t="shared" ref="I69:I100" si="8">IF(A69="","",IF(H69="Yes",10+E69,-G69*1))</f>
        <v/>
      </c>
      <c r="J69" t="str">
        <f>IF(A69="","",SUMIFS($I$5:I69,$C$5:C69,C69,$A$5:A69,A69))</f>
        <v/>
      </c>
      <c r="K69" t="str">
        <f>IF(A69="","",IF(J69=MAXIFS($J$5:$J$200,$A$5:$A$200,A69,$B$5:$B$200,B69),"Yes","No"))</f>
        <v/>
      </c>
    </row>
    <row r="70" spans="7:11">
      <c r="G70" t="str">
        <f t="shared" si="6"/>
        <v/>
      </c>
      <c r="H70" t="str">
        <f t="shared" si="7"/>
        <v/>
      </c>
      <c r="I70" t="str">
        <f t="shared" si="8"/>
        <v/>
      </c>
      <c r="J70" t="str">
        <f>IF(A70="","",SUMIFS($I$5:I70,$C$5:C70,C70,$A$5:A70,A70))</f>
        <v/>
      </c>
      <c r="K70" t="str">
        <f>IF(A70="","",IF(J70=MAXIFS($J$5:$J$200,$A$5:$A$200,A70,$B$5:$B$200,B70),"Yes","No"))</f>
        <v/>
      </c>
    </row>
    <row r="71" spans="7:11">
      <c r="G71" t="str">
        <f t="shared" si="6"/>
        <v/>
      </c>
      <c r="H71" t="str">
        <f t="shared" si="7"/>
        <v/>
      </c>
      <c r="I71" t="str">
        <f t="shared" si="8"/>
        <v/>
      </c>
      <c r="J71" t="str">
        <f>IF(A71="","",SUMIFS($I$5:I71,$C$5:C71,C71,$A$5:A71,A71))</f>
        <v/>
      </c>
      <c r="K71" t="str">
        <f>IF(A71="","",IF(J71=MAXIFS($J$5:$J$200,$A$5:$A$200,A71,$B$5:$B$200,B71),"Yes","No"))</f>
        <v/>
      </c>
    </row>
    <row r="72" spans="7:11">
      <c r="G72" t="str">
        <f t="shared" si="6"/>
        <v/>
      </c>
      <c r="H72" t="str">
        <f t="shared" si="7"/>
        <v/>
      </c>
      <c r="I72" t="str">
        <f t="shared" si="8"/>
        <v/>
      </c>
      <c r="J72" t="str">
        <f>IF(A72="","",SUMIFS($I$5:I72,$C$5:C72,C72,$A$5:A72,A72))</f>
        <v/>
      </c>
      <c r="K72" t="str">
        <f>IF(A72="","",IF(J72=MAXIFS($J$5:$J$200,$A$5:$A$200,A72,$B$5:$B$200,B72),"Yes","No"))</f>
        <v/>
      </c>
    </row>
    <row r="73" spans="7:11">
      <c r="G73" t="str">
        <f t="shared" si="6"/>
        <v/>
      </c>
      <c r="H73" t="str">
        <f t="shared" si="7"/>
        <v/>
      </c>
      <c r="I73" t="str">
        <f t="shared" si="8"/>
        <v/>
      </c>
      <c r="J73" t="str">
        <f>IF(A73="","",SUMIFS($I$5:I73,$C$5:C73,C73,$A$5:A73,A73))</f>
        <v/>
      </c>
      <c r="K73" t="str">
        <f>IF(A73="","",IF(J73=MAXIFS($J$5:$J$200,$A$5:$A$200,A73,$B$5:$B$200,B73),"Yes","No"))</f>
        <v/>
      </c>
    </row>
    <row r="74" spans="7:11">
      <c r="G74" t="str">
        <f t="shared" si="6"/>
        <v/>
      </c>
      <c r="H74" t="str">
        <f t="shared" si="7"/>
        <v/>
      </c>
      <c r="I74" t="str">
        <f t="shared" si="8"/>
        <v/>
      </c>
      <c r="J74" t="str">
        <f>IF(A74="","",SUMIFS($I$5:I74,$C$5:C74,C74,$A$5:A74,A74))</f>
        <v/>
      </c>
      <c r="K74" t="str">
        <f>IF(A74="","",IF(J74=MAXIFS($J$5:$J$200,$A$5:$A$200,A74,$B$5:$B$200,B74),"Yes","No"))</f>
        <v/>
      </c>
    </row>
    <row r="75" spans="7:11">
      <c r="G75" t="str">
        <f t="shared" si="6"/>
        <v/>
      </c>
      <c r="H75" t="str">
        <f t="shared" si="7"/>
        <v/>
      </c>
      <c r="I75" t="str">
        <f t="shared" si="8"/>
        <v/>
      </c>
      <c r="J75" t="str">
        <f>IF(A75="","",SUMIFS($I$5:I75,$C$5:C75,C75,$A$5:A75,A75))</f>
        <v/>
      </c>
      <c r="K75" t="str">
        <f>IF(A75="","",IF(J75=MAXIFS($J$5:$J$200,$A$5:$A$200,A75,$B$5:$B$200,B75),"Yes","No"))</f>
        <v/>
      </c>
    </row>
    <row r="76" spans="7:11">
      <c r="G76" t="str">
        <f t="shared" si="6"/>
        <v/>
      </c>
      <c r="H76" t="str">
        <f t="shared" si="7"/>
        <v/>
      </c>
      <c r="I76" t="str">
        <f t="shared" si="8"/>
        <v/>
      </c>
      <c r="J76" t="str">
        <f>IF(A76="","",SUMIFS($I$5:I76,$C$5:C76,C76,$A$5:A76,A76))</f>
        <v/>
      </c>
      <c r="K76" t="str">
        <f>IF(A76="","",IF(J76=MAXIFS($J$5:$J$200,$A$5:$A$200,A76,$B$5:$B$200,B76),"Yes","No"))</f>
        <v/>
      </c>
    </row>
    <row r="77" spans="7:11">
      <c r="G77" t="str">
        <f t="shared" si="6"/>
        <v/>
      </c>
      <c r="H77" t="str">
        <f t="shared" si="7"/>
        <v/>
      </c>
      <c r="I77" t="str">
        <f t="shared" si="8"/>
        <v/>
      </c>
      <c r="J77" t="str">
        <f>IF(A77="","",SUMIFS($I$5:I77,$C$5:C77,C77,$A$5:A77,A77))</f>
        <v/>
      </c>
      <c r="K77" t="str">
        <f>IF(A77="","",IF(J77=MAXIFS($J$5:$J$200,$A$5:$A$200,A77,$B$5:$B$200,B77),"Yes","No"))</f>
        <v/>
      </c>
    </row>
    <row r="78" spans="7:11">
      <c r="G78" t="str">
        <f t="shared" si="6"/>
        <v/>
      </c>
      <c r="H78" t="str">
        <f t="shared" si="7"/>
        <v/>
      </c>
      <c r="I78" t="str">
        <f t="shared" si="8"/>
        <v/>
      </c>
      <c r="J78" t="str">
        <f>IF(A78="","",SUMIFS($I$5:I78,$C$5:C78,C78,$A$5:A78,A78))</f>
        <v/>
      </c>
      <c r="K78" t="str">
        <f>IF(A78="","",IF(J78=MAXIFS($J$5:$J$200,$A$5:$A$200,A78,$B$5:$B$200,B78),"Yes","No"))</f>
        <v/>
      </c>
    </row>
    <row r="79" spans="7:11">
      <c r="G79" t="str">
        <f t="shared" si="6"/>
        <v/>
      </c>
      <c r="H79" t="str">
        <f t="shared" si="7"/>
        <v/>
      </c>
      <c r="I79" t="str">
        <f t="shared" si="8"/>
        <v/>
      </c>
      <c r="J79" t="str">
        <f>IF(A79="","",SUMIFS($I$5:I79,$C$5:C79,C79,$A$5:A79,A79))</f>
        <v/>
      </c>
      <c r="K79" t="str">
        <f>IF(A79="","",IF(J79=MAXIFS($J$5:$J$200,$A$5:$A$200,A79,$B$5:$B$200,B79),"Yes","No"))</f>
        <v/>
      </c>
    </row>
    <row r="80" spans="7:11">
      <c r="G80" t="str">
        <f t="shared" si="6"/>
        <v/>
      </c>
      <c r="H80" t="str">
        <f t="shared" si="7"/>
        <v/>
      </c>
      <c r="I80" t="str">
        <f t="shared" si="8"/>
        <v/>
      </c>
      <c r="J80" t="str">
        <f>IF(A80="","",SUMIFS($I$5:I80,$C$5:C80,C80,$A$5:A80,A80))</f>
        <v/>
      </c>
      <c r="K80" t="str">
        <f>IF(A80="","",IF(J80=MAXIFS($J$5:$J$200,$A$5:$A$200,A80,$B$5:$B$200,B80),"Yes","No"))</f>
        <v/>
      </c>
    </row>
    <row r="81" spans="7:11">
      <c r="G81" t="str">
        <f t="shared" si="6"/>
        <v/>
      </c>
      <c r="H81" t="str">
        <f t="shared" si="7"/>
        <v/>
      </c>
      <c r="I81" t="str">
        <f t="shared" si="8"/>
        <v/>
      </c>
      <c r="J81" t="str">
        <f>IF(A81="","",SUMIFS($I$5:I81,$C$5:C81,C81,$A$5:A81,A81))</f>
        <v/>
      </c>
      <c r="K81" t="str">
        <f>IF(A81="","",IF(J81=MAXIFS($J$5:$J$200,$A$5:$A$200,A81,$B$5:$B$200,B81),"Yes","No"))</f>
        <v/>
      </c>
    </row>
    <row r="82" spans="7:11">
      <c r="G82" t="str">
        <f t="shared" si="6"/>
        <v/>
      </c>
      <c r="H82" t="str">
        <f t="shared" si="7"/>
        <v/>
      </c>
      <c r="I82" t="str">
        <f t="shared" si="8"/>
        <v/>
      </c>
      <c r="J82" t="str">
        <f>IF(A82="","",SUMIFS($I$5:I82,$C$5:C82,C82,$A$5:A82,A82))</f>
        <v/>
      </c>
      <c r="K82" t="str">
        <f>IF(A82="","",IF(J82=MAXIFS($J$5:$J$200,$A$5:$A$200,A82,$B$5:$B$200,B82),"Yes","No"))</f>
        <v/>
      </c>
    </row>
    <row r="83" spans="7:11">
      <c r="G83" t="str">
        <f t="shared" si="6"/>
        <v/>
      </c>
      <c r="H83" t="str">
        <f t="shared" si="7"/>
        <v/>
      </c>
      <c r="I83" t="str">
        <f t="shared" si="8"/>
        <v/>
      </c>
      <c r="J83" t="str">
        <f>IF(A83="","",SUMIFS($I$5:I83,$C$5:C83,C83,$A$5:A83,A83))</f>
        <v/>
      </c>
      <c r="K83" t="str">
        <f>IF(A83="","",IF(J83=MAXIFS($J$5:$J$200,$A$5:$A$200,A83,$B$5:$B$200,B83),"Yes","No"))</f>
        <v/>
      </c>
    </row>
    <row r="84" spans="7:11">
      <c r="G84" t="str">
        <f t="shared" si="6"/>
        <v/>
      </c>
      <c r="H84" t="str">
        <f t="shared" si="7"/>
        <v/>
      </c>
      <c r="I84" t="str">
        <f t="shared" si="8"/>
        <v/>
      </c>
      <c r="J84" t="str">
        <f>IF(A84="","",SUMIFS($I$5:I84,$C$5:C84,C84,$A$5:A84,A84))</f>
        <v/>
      </c>
      <c r="K84" t="str">
        <f>IF(A84="","",IF(J84=MAXIFS($J$5:$J$200,$A$5:$A$200,A84,$B$5:$B$200,B84),"Yes","No"))</f>
        <v/>
      </c>
    </row>
    <row r="85" spans="7:11">
      <c r="G85" t="str">
        <f t="shared" si="6"/>
        <v/>
      </c>
      <c r="H85" t="str">
        <f t="shared" si="7"/>
        <v/>
      </c>
      <c r="I85" t="str">
        <f t="shared" si="8"/>
        <v/>
      </c>
      <c r="J85" t="str">
        <f>IF(A85="","",SUMIFS($I$5:I85,$C$5:C85,C85,$A$5:A85,A85))</f>
        <v/>
      </c>
      <c r="K85" t="str">
        <f>IF(A85="","",IF(J85=MAXIFS($J$5:$J$200,$A$5:$A$200,A85,$B$5:$B$200,B85),"Yes","No"))</f>
        <v/>
      </c>
    </row>
    <row r="86" spans="7:11">
      <c r="G86" t="str">
        <f t="shared" si="6"/>
        <v/>
      </c>
      <c r="H86" t="str">
        <f t="shared" si="7"/>
        <v/>
      </c>
      <c r="I86" t="str">
        <f t="shared" si="8"/>
        <v/>
      </c>
      <c r="J86" t="str">
        <f>IF(A86="","",SUMIFS($I$5:I86,$C$5:C86,C86,$A$5:A86,A86))</f>
        <v/>
      </c>
      <c r="K86" t="str">
        <f>IF(A86="","",IF(J86=MAXIFS($J$5:$J$200,$A$5:$A$200,A86,$B$5:$B$200,B86),"Yes","No"))</f>
        <v/>
      </c>
    </row>
    <row r="87" spans="7:11">
      <c r="G87" t="str">
        <f t="shared" si="6"/>
        <v/>
      </c>
      <c r="H87" t="str">
        <f t="shared" si="7"/>
        <v/>
      </c>
      <c r="I87" t="str">
        <f t="shared" si="8"/>
        <v/>
      </c>
      <c r="J87" t="str">
        <f>IF(A87="","",SUMIFS($I$5:I87,$C$5:C87,C87,$A$5:A87,A87))</f>
        <v/>
      </c>
      <c r="K87" t="str">
        <f>IF(A87="","",IF(J87=MAXIFS($J$5:$J$200,$A$5:$A$200,A87,$B$5:$B$200,B87),"Yes","No"))</f>
        <v/>
      </c>
    </row>
    <row r="88" spans="7:11">
      <c r="G88" t="str">
        <f t="shared" si="6"/>
        <v/>
      </c>
      <c r="H88" t="str">
        <f t="shared" si="7"/>
        <v/>
      </c>
      <c r="I88" t="str">
        <f t="shared" si="8"/>
        <v/>
      </c>
      <c r="J88" t="str">
        <f>IF(A88="","",SUMIFS($I$5:I88,$C$5:C88,C88,$A$5:A88,A88))</f>
        <v/>
      </c>
      <c r="K88" t="str">
        <f>IF(A88="","",IF(J88=MAXIFS($J$5:$J$200,$A$5:$A$200,A88,$B$5:$B$200,B88),"Yes","No"))</f>
        <v/>
      </c>
    </row>
    <row r="89" spans="7:11">
      <c r="G89" t="str">
        <f t="shared" si="6"/>
        <v/>
      </c>
      <c r="H89" t="str">
        <f t="shared" si="7"/>
        <v/>
      </c>
      <c r="I89" t="str">
        <f t="shared" si="8"/>
        <v/>
      </c>
      <c r="J89" t="str">
        <f>IF(A89="","",SUMIFS($I$5:I89,$C$5:C89,C89,$A$5:A89,A89))</f>
        <v/>
      </c>
      <c r="K89" t="str">
        <f>IF(A89="","",IF(J89=MAXIFS($J$5:$J$200,$A$5:$A$200,A89,$B$5:$B$200,B89),"Yes","No"))</f>
        <v/>
      </c>
    </row>
    <row r="90" spans="7:11">
      <c r="G90" t="str">
        <f t="shared" si="6"/>
        <v/>
      </c>
      <c r="H90" t="str">
        <f t="shared" si="7"/>
        <v/>
      </c>
      <c r="I90" t="str">
        <f t="shared" si="8"/>
        <v/>
      </c>
      <c r="J90" t="str">
        <f>IF(A90="","",SUMIFS($I$5:I90,$C$5:C90,C90,$A$5:A90,A90))</f>
        <v/>
      </c>
      <c r="K90" t="str">
        <f>IF(A90="","",IF(J90=MAXIFS($J$5:$J$200,$A$5:$A$200,A90,$B$5:$B$200,B90),"Yes","No"))</f>
        <v/>
      </c>
    </row>
    <row r="91" spans="7:11">
      <c r="G91" t="str">
        <f t="shared" si="6"/>
        <v/>
      </c>
      <c r="H91" t="str">
        <f t="shared" si="7"/>
        <v/>
      </c>
      <c r="I91" t="str">
        <f t="shared" si="8"/>
        <v/>
      </c>
      <c r="J91" t="str">
        <f>IF(A91="","",SUMIFS($I$5:I91,$C$5:C91,C91,$A$5:A91,A91))</f>
        <v/>
      </c>
      <c r="K91" t="str">
        <f>IF(A91="","",IF(J91=MAXIFS($J$5:$J$200,$A$5:$A$200,A91,$B$5:$B$200,B91),"Yes","No"))</f>
        <v/>
      </c>
    </row>
    <row r="92" spans="7:11">
      <c r="G92" t="str">
        <f t="shared" si="6"/>
        <v/>
      </c>
      <c r="H92" t="str">
        <f t="shared" si="7"/>
        <v/>
      </c>
      <c r="I92" t="str">
        <f t="shared" si="8"/>
        <v/>
      </c>
      <c r="J92" t="str">
        <f>IF(A92="","",SUMIFS($I$5:I92,$C$5:C92,C92,$A$5:A92,A92))</f>
        <v/>
      </c>
      <c r="K92" t="str">
        <f>IF(A92="","",IF(J92=MAXIFS($J$5:$J$200,$A$5:$A$200,A92,$B$5:$B$200,B92),"Yes","No"))</f>
        <v/>
      </c>
    </row>
    <row r="93" spans="7:11">
      <c r="G93" t="str">
        <f t="shared" si="6"/>
        <v/>
      </c>
      <c r="H93" t="str">
        <f t="shared" si="7"/>
        <v/>
      </c>
      <c r="I93" t="str">
        <f t="shared" si="8"/>
        <v/>
      </c>
      <c r="J93" t="str">
        <f>IF(A93="","",SUMIFS($I$5:I93,$C$5:C93,C93,$A$5:A93,A93))</f>
        <v/>
      </c>
      <c r="K93" t="str">
        <f>IF(A93="","",IF(J93=MAXIFS($J$5:$J$200,$A$5:$A$200,A93,$B$5:$B$200,B93),"Yes","No"))</f>
        <v/>
      </c>
    </row>
    <row r="94" spans="7:11">
      <c r="G94" t="str">
        <f t="shared" si="6"/>
        <v/>
      </c>
      <c r="H94" t="str">
        <f t="shared" si="7"/>
        <v/>
      </c>
      <c r="I94" t="str">
        <f t="shared" si="8"/>
        <v/>
      </c>
      <c r="J94" t="str">
        <f>IF(A94="","",SUMIFS($I$5:I94,$C$5:C94,C94,$A$5:A94,A94))</f>
        <v/>
      </c>
      <c r="K94" t="str">
        <f>IF(A94="","",IF(J94=MAXIFS($J$5:$J$200,$A$5:$A$200,A94,$B$5:$B$200,B94),"Yes","No"))</f>
        <v/>
      </c>
    </row>
    <row r="95" spans="7:11">
      <c r="G95" t="str">
        <f t="shared" si="6"/>
        <v/>
      </c>
      <c r="H95" t="str">
        <f t="shared" si="7"/>
        <v/>
      </c>
      <c r="I95" t="str">
        <f t="shared" si="8"/>
        <v/>
      </c>
      <c r="J95" t="str">
        <f>IF(A95="","",SUMIFS($I$5:I95,$C$5:C95,C95,$A$5:A95,A95))</f>
        <v/>
      </c>
      <c r="K95" t="str">
        <f>IF(A95="","",IF(J95=MAXIFS($J$5:$J$200,$A$5:$A$200,A95,$B$5:$B$200,B95),"Yes","No"))</f>
        <v/>
      </c>
    </row>
    <row r="96" spans="7:11">
      <c r="G96" t="str">
        <f t="shared" si="6"/>
        <v/>
      </c>
      <c r="H96" t="str">
        <f t="shared" si="7"/>
        <v/>
      </c>
      <c r="I96" t="str">
        <f t="shared" si="8"/>
        <v/>
      </c>
      <c r="J96" t="str">
        <f>IF(A96="","",SUMIFS($I$5:I96,$C$5:C96,C96,$A$5:A96,A96))</f>
        <v/>
      </c>
      <c r="K96" t="str">
        <f>IF(A96="","",IF(J96=MAXIFS($J$5:$J$200,$A$5:$A$200,A96,$B$5:$B$200,B96),"Yes","No"))</f>
        <v/>
      </c>
    </row>
    <row r="97" spans="7:11">
      <c r="G97" t="str">
        <f t="shared" si="6"/>
        <v/>
      </c>
      <c r="H97" t="str">
        <f t="shared" si="7"/>
        <v/>
      </c>
      <c r="I97" t="str">
        <f t="shared" si="8"/>
        <v/>
      </c>
      <c r="J97" t="str">
        <f>IF(A97="","",SUMIFS($I$5:I97,$C$5:C97,C97,$A$5:A97,A97))</f>
        <v/>
      </c>
      <c r="K97" t="str">
        <f>IF(A97="","",IF(J97=MAXIFS($J$5:$J$200,$A$5:$A$200,A97,$B$5:$B$200,B97),"Yes","No"))</f>
        <v/>
      </c>
    </row>
    <row r="98" spans="7:11">
      <c r="G98" t="str">
        <f t="shared" si="6"/>
        <v/>
      </c>
      <c r="H98" t="str">
        <f t="shared" si="7"/>
        <v/>
      </c>
      <c r="I98" t="str">
        <f t="shared" si="8"/>
        <v/>
      </c>
      <c r="J98" t="str">
        <f>IF(A98="","",SUMIFS($I$5:I98,$C$5:C98,C98,$A$5:A98,A98))</f>
        <v/>
      </c>
      <c r="K98" t="str">
        <f>IF(A98="","",IF(J98=MAXIFS($J$5:$J$200,$A$5:$A$200,A98,$B$5:$B$200,B98),"Yes","No"))</f>
        <v/>
      </c>
    </row>
    <row r="99" spans="7:11">
      <c r="G99" t="str">
        <f t="shared" si="6"/>
        <v/>
      </c>
      <c r="H99" t="str">
        <f t="shared" si="7"/>
        <v/>
      </c>
      <c r="I99" t="str">
        <f t="shared" si="8"/>
        <v/>
      </c>
      <c r="J99" t="str">
        <f>IF(A99="","",SUMIFS($I$5:I99,$C$5:C99,C99,$A$5:A99,A99))</f>
        <v/>
      </c>
      <c r="K99" t="str">
        <f>IF(A99="","",IF(J99=MAXIFS($J$5:$J$200,$A$5:$A$200,A99,$B$5:$B$200,B99),"Yes","No"))</f>
        <v/>
      </c>
    </row>
    <row r="100" spans="7:11">
      <c r="G100" t="str">
        <f t="shared" si="6"/>
        <v/>
      </c>
      <c r="H100" t="str">
        <f t="shared" si="7"/>
        <v/>
      </c>
      <c r="I100" t="str">
        <f t="shared" si="8"/>
        <v/>
      </c>
      <c r="J100" t="str">
        <f>IF(A100="","",SUMIFS($I$5:I100,$C$5:C100,C100,$A$5:A100,A100))</f>
        <v/>
      </c>
      <c r="K100" t="str">
        <f>IF(A100="","",IF(J100=MAXIFS($J$5:$J$200,$A$5:$A$200,A100,$B$5:$B$200,B100),"Yes","No"))</f>
        <v/>
      </c>
    </row>
    <row r="101" spans="7:11">
      <c r="G101" t="str">
        <f t="shared" ref="G101:G132" si="9">IF(A101="","",ABS(E101-F101))</f>
        <v/>
      </c>
      <c r="H101" t="str">
        <f t="shared" ref="H101:H132" si="10">IF(A101="","",IF(E101=F101,"Yes","No"))</f>
        <v/>
      </c>
      <c r="I101" t="str">
        <f t="shared" ref="I101:I132" si="11">IF(A101="","",IF(H101="Yes",10+E101,-G101*1))</f>
        <v/>
      </c>
      <c r="J101" t="str">
        <f>IF(A101="","",SUMIFS($I$5:I101,$C$5:C101,C101,$A$5:A101,A101))</f>
        <v/>
      </c>
      <c r="K101" t="str">
        <f>IF(A101="","",IF(J101=MAXIFS($J$5:$J$200,$A$5:$A$200,A101,$B$5:$B$200,B101),"Yes","No"))</f>
        <v/>
      </c>
    </row>
    <row r="102" spans="7:11">
      <c r="G102" t="str">
        <f t="shared" si="9"/>
        <v/>
      </c>
      <c r="H102" t="str">
        <f t="shared" si="10"/>
        <v/>
      </c>
      <c r="I102" t="str">
        <f t="shared" si="11"/>
        <v/>
      </c>
      <c r="J102" t="str">
        <f>IF(A102="","",SUMIFS($I$5:I102,$C$5:C102,C102,$A$5:A102,A102))</f>
        <v/>
      </c>
      <c r="K102" t="str">
        <f>IF(A102="","",IF(J102=MAXIFS($J$5:$J$200,$A$5:$A$200,A102,$B$5:$B$200,B102),"Yes","No"))</f>
        <v/>
      </c>
    </row>
    <row r="103" spans="7:11">
      <c r="G103" t="str">
        <f t="shared" si="9"/>
        <v/>
      </c>
      <c r="H103" t="str">
        <f t="shared" si="10"/>
        <v/>
      </c>
      <c r="I103" t="str">
        <f t="shared" si="11"/>
        <v/>
      </c>
      <c r="J103" t="str">
        <f>IF(A103="","",SUMIFS($I$5:I103,$C$5:C103,C103,$A$5:A103,A103))</f>
        <v/>
      </c>
      <c r="K103" t="str">
        <f>IF(A103="","",IF(J103=MAXIFS($J$5:$J$200,$A$5:$A$200,A103,$B$5:$B$200,B103),"Yes","No"))</f>
        <v/>
      </c>
    </row>
    <row r="104" spans="7:11">
      <c r="G104" t="str">
        <f t="shared" si="9"/>
        <v/>
      </c>
      <c r="H104" t="str">
        <f t="shared" si="10"/>
        <v/>
      </c>
      <c r="I104" t="str">
        <f t="shared" si="11"/>
        <v/>
      </c>
      <c r="J104" t="str">
        <f>IF(A104="","",SUMIFS($I$5:I104,$C$5:C104,C104,$A$5:A104,A104))</f>
        <v/>
      </c>
      <c r="K104" t="str">
        <f>IF(A104="","",IF(J104=MAXIFS($J$5:$J$200,$A$5:$A$200,A104,$B$5:$B$200,B104),"Yes","No"))</f>
        <v/>
      </c>
    </row>
    <row r="105" spans="7:11">
      <c r="G105" t="str">
        <f t="shared" si="9"/>
        <v/>
      </c>
      <c r="H105" t="str">
        <f t="shared" si="10"/>
        <v/>
      </c>
      <c r="I105" t="str">
        <f t="shared" si="11"/>
        <v/>
      </c>
      <c r="J105" t="str">
        <f>IF(A105="","",SUMIFS($I$5:I105,$C$5:C105,C105,$A$5:A105,A105))</f>
        <v/>
      </c>
      <c r="K105" t="str">
        <f>IF(A105="","",IF(J105=MAXIFS($J$5:$J$200,$A$5:$A$200,A105,$B$5:$B$200,B105),"Yes","No"))</f>
        <v/>
      </c>
    </row>
    <row r="106" spans="7:11">
      <c r="G106" t="str">
        <f t="shared" si="9"/>
        <v/>
      </c>
      <c r="H106" t="str">
        <f t="shared" si="10"/>
        <v/>
      </c>
      <c r="I106" t="str">
        <f t="shared" si="11"/>
        <v/>
      </c>
      <c r="J106" t="str">
        <f>IF(A106="","",SUMIFS($I$5:I106,$C$5:C106,C106,$A$5:A106,A106))</f>
        <v/>
      </c>
      <c r="K106" t="str">
        <f>IF(A106="","",IF(J106=MAXIFS($J$5:$J$200,$A$5:$A$200,A106,$B$5:$B$200,B106),"Yes","No"))</f>
        <v/>
      </c>
    </row>
    <row r="107" spans="7:11">
      <c r="G107" t="str">
        <f t="shared" si="9"/>
        <v/>
      </c>
      <c r="H107" t="str">
        <f t="shared" si="10"/>
        <v/>
      </c>
      <c r="I107" t="str">
        <f t="shared" si="11"/>
        <v/>
      </c>
      <c r="J107" t="str">
        <f>IF(A107="","",SUMIFS($I$5:I107,$C$5:C107,C107,$A$5:A107,A107))</f>
        <v/>
      </c>
      <c r="K107" t="str">
        <f>IF(A107="","",IF(J107=MAXIFS($J$5:$J$200,$A$5:$A$200,A107,$B$5:$B$200,B107),"Yes","No"))</f>
        <v/>
      </c>
    </row>
    <row r="108" spans="7:11">
      <c r="G108" t="str">
        <f t="shared" si="9"/>
        <v/>
      </c>
      <c r="H108" t="str">
        <f t="shared" si="10"/>
        <v/>
      </c>
      <c r="I108" t="str">
        <f t="shared" si="11"/>
        <v/>
      </c>
      <c r="J108" t="str">
        <f>IF(A108="","",SUMIFS($I$5:I108,$C$5:C108,C108,$A$5:A108,A108))</f>
        <v/>
      </c>
      <c r="K108" t="str">
        <f>IF(A108="","",IF(J108=MAXIFS($J$5:$J$200,$A$5:$A$200,A108,$B$5:$B$200,B108),"Yes","No"))</f>
        <v/>
      </c>
    </row>
    <row r="109" spans="7:11">
      <c r="G109" t="str">
        <f t="shared" si="9"/>
        <v/>
      </c>
      <c r="H109" t="str">
        <f t="shared" si="10"/>
        <v/>
      </c>
      <c r="I109" t="str">
        <f t="shared" si="11"/>
        <v/>
      </c>
      <c r="J109" t="str">
        <f>IF(A109="","",SUMIFS($I$5:I109,$C$5:C109,C109,$A$5:A109,A109))</f>
        <v/>
      </c>
      <c r="K109" t="str">
        <f>IF(A109="","",IF(J109=MAXIFS($J$5:$J$200,$A$5:$A$200,A109,$B$5:$B$200,B109),"Yes","No"))</f>
        <v/>
      </c>
    </row>
    <row r="110" spans="7:11">
      <c r="G110" t="str">
        <f t="shared" si="9"/>
        <v/>
      </c>
      <c r="H110" t="str">
        <f t="shared" si="10"/>
        <v/>
      </c>
      <c r="I110" t="str">
        <f t="shared" si="11"/>
        <v/>
      </c>
      <c r="J110" t="str">
        <f>IF(A110="","",SUMIFS($I$5:I110,$C$5:C110,C110,$A$5:A110,A110))</f>
        <v/>
      </c>
      <c r="K110" t="str">
        <f>IF(A110="","",IF(J110=MAXIFS($J$5:$J$200,$A$5:$A$200,A110,$B$5:$B$200,B110),"Yes","No"))</f>
        <v/>
      </c>
    </row>
    <row r="111" spans="7:11">
      <c r="G111" t="str">
        <f t="shared" si="9"/>
        <v/>
      </c>
      <c r="H111" t="str">
        <f t="shared" si="10"/>
        <v/>
      </c>
      <c r="I111" t="str">
        <f t="shared" si="11"/>
        <v/>
      </c>
      <c r="J111" t="str">
        <f>IF(A111="","",SUMIFS($I$5:I111,$C$5:C111,C111,$A$5:A111,A111))</f>
        <v/>
      </c>
      <c r="K111" t="str">
        <f>IF(A111="","",IF(J111=MAXIFS($J$5:$J$200,$A$5:$A$200,A111,$B$5:$B$200,B111),"Yes","No"))</f>
        <v/>
      </c>
    </row>
    <row r="112" spans="7:11">
      <c r="G112" t="str">
        <f t="shared" si="9"/>
        <v/>
      </c>
      <c r="H112" t="str">
        <f t="shared" si="10"/>
        <v/>
      </c>
      <c r="I112" t="str">
        <f t="shared" si="11"/>
        <v/>
      </c>
      <c r="J112" t="str">
        <f>IF(A112="","",SUMIFS($I$5:I112,$C$5:C112,C112,$A$5:A112,A112))</f>
        <v/>
      </c>
      <c r="K112" t="str">
        <f>IF(A112="","",IF(J112=MAXIFS($J$5:$J$200,$A$5:$A$200,A112,$B$5:$B$200,B112),"Yes","No"))</f>
        <v/>
      </c>
    </row>
    <row r="113" spans="7:11">
      <c r="G113" t="str">
        <f t="shared" si="9"/>
        <v/>
      </c>
      <c r="H113" t="str">
        <f t="shared" si="10"/>
        <v/>
      </c>
      <c r="I113" t="str">
        <f t="shared" si="11"/>
        <v/>
      </c>
      <c r="J113" t="str">
        <f>IF(A113="","",SUMIFS($I$5:I113,$C$5:C113,C113,$A$5:A113,A113))</f>
        <v/>
      </c>
      <c r="K113" t="str">
        <f>IF(A113="","",IF(J113=MAXIFS($J$5:$J$200,$A$5:$A$200,A113,$B$5:$B$200,B113),"Yes","No"))</f>
        <v/>
      </c>
    </row>
    <row r="114" spans="7:11">
      <c r="G114" t="str">
        <f t="shared" si="9"/>
        <v/>
      </c>
      <c r="H114" t="str">
        <f t="shared" si="10"/>
        <v/>
      </c>
      <c r="I114" t="str">
        <f t="shared" si="11"/>
        <v/>
      </c>
      <c r="J114" t="str">
        <f>IF(A114="","",SUMIFS($I$5:I114,$C$5:C114,C114,$A$5:A114,A114))</f>
        <v/>
      </c>
      <c r="K114" t="str">
        <f>IF(A114="","",IF(J114=MAXIFS($J$5:$J$200,$A$5:$A$200,A114,$B$5:$B$200,B114),"Yes","No"))</f>
        <v/>
      </c>
    </row>
    <row r="115" spans="7:11">
      <c r="G115" t="str">
        <f t="shared" si="9"/>
        <v/>
      </c>
      <c r="H115" t="str">
        <f t="shared" si="10"/>
        <v/>
      </c>
      <c r="I115" t="str">
        <f t="shared" si="11"/>
        <v/>
      </c>
      <c r="J115" t="str">
        <f>IF(A115="","",SUMIFS($I$5:I115,$C$5:C115,C115,$A$5:A115,A115))</f>
        <v/>
      </c>
      <c r="K115" t="str">
        <f>IF(A115="","",IF(J115=MAXIFS($J$5:$J$200,$A$5:$A$200,A115,$B$5:$B$200,B115),"Yes","No"))</f>
        <v/>
      </c>
    </row>
    <row r="116" spans="7:11">
      <c r="G116" t="str">
        <f t="shared" si="9"/>
        <v/>
      </c>
      <c r="H116" t="str">
        <f t="shared" si="10"/>
        <v/>
      </c>
      <c r="I116" t="str">
        <f t="shared" si="11"/>
        <v/>
      </c>
      <c r="J116" t="str">
        <f>IF(A116="","",SUMIFS($I$5:I116,$C$5:C116,C116,$A$5:A116,A116))</f>
        <v/>
      </c>
      <c r="K116" t="str">
        <f>IF(A116="","",IF(J116=MAXIFS($J$5:$J$200,$A$5:$A$200,A116,$B$5:$B$200,B116),"Yes","No"))</f>
        <v/>
      </c>
    </row>
    <row r="117" spans="7:11">
      <c r="G117" t="str">
        <f t="shared" si="9"/>
        <v/>
      </c>
      <c r="H117" t="str">
        <f t="shared" si="10"/>
        <v/>
      </c>
      <c r="I117" t="str">
        <f t="shared" si="11"/>
        <v/>
      </c>
      <c r="J117" t="str">
        <f>IF(A117="","",SUMIFS($I$5:I117,$C$5:C117,C117,$A$5:A117,A117))</f>
        <v/>
      </c>
      <c r="K117" t="str">
        <f>IF(A117="","",IF(J117=MAXIFS($J$5:$J$200,$A$5:$A$200,A117,$B$5:$B$200,B117),"Yes","No"))</f>
        <v/>
      </c>
    </row>
    <row r="118" spans="7:11">
      <c r="G118" t="str">
        <f t="shared" si="9"/>
        <v/>
      </c>
      <c r="H118" t="str">
        <f t="shared" si="10"/>
        <v/>
      </c>
      <c r="I118" t="str">
        <f t="shared" si="11"/>
        <v/>
      </c>
      <c r="J118" t="str">
        <f>IF(A118="","",SUMIFS($I$5:I118,$C$5:C118,C118,$A$5:A118,A118))</f>
        <v/>
      </c>
      <c r="K118" t="str">
        <f>IF(A118="","",IF(J118=MAXIFS($J$5:$J$200,$A$5:$A$200,A118,$B$5:$B$200,B118),"Yes","No"))</f>
        <v/>
      </c>
    </row>
    <row r="119" spans="7:11">
      <c r="G119" t="str">
        <f t="shared" si="9"/>
        <v/>
      </c>
      <c r="H119" t="str">
        <f t="shared" si="10"/>
        <v/>
      </c>
      <c r="I119" t="str">
        <f t="shared" si="11"/>
        <v/>
      </c>
      <c r="J119" t="str">
        <f>IF(A119="","",SUMIFS($I$5:I119,$C$5:C119,C119,$A$5:A119,A119))</f>
        <v/>
      </c>
      <c r="K119" t="str">
        <f>IF(A119="","",IF(J119=MAXIFS($J$5:$J$200,$A$5:$A$200,A119,$B$5:$B$200,B119),"Yes","No"))</f>
        <v/>
      </c>
    </row>
    <row r="120" spans="7:11">
      <c r="G120" t="str">
        <f t="shared" si="9"/>
        <v/>
      </c>
      <c r="H120" t="str">
        <f t="shared" si="10"/>
        <v/>
      </c>
      <c r="I120" t="str">
        <f t="shared" si="11"/>
        <v/>
      </c>
      <c r="J120" t="str">
        <f>IF(A120="","",SUMIFS($I$5:I120,$C$5:C120,C120,$A$5:A120,A120))</f>
        <v/>
      </c>
      <c r="K120" t="str">
        <f>IF(A120="","",IF(J120=MAXIFS($J$5:$J$200,$A$5:$A$200,A120,$B$5:$B$200,B120),"Yes","No"))</f>
        <v/>
      </c>
    </row>
    <row r="121" spans="7:11">
      <c r="G121" t="str">
        <f t="shared" si="9"/>
        <v/>
      </c>
      <c r="H121" t="str">
        <f t="shared" si="10"/>
        <v/>
      </c>
      <c r="I121" t="str">
        <f t="shared" si="11"/>
        <v/>
      </c>
      <c r="J121" t="str">
        <f>IF(A121="","",SUMIFS($I$5:I121,$C$5:C121,C121,$A$5:A121,A121))</f>
        <v/>
      </c>
      <c r="K121" t="str">
        <f>IF(A121="","",IF(J121=MAXIFS($J$5:$J$200,$A$5:$A$200,A121,$B$5:$B$200,B121),"Yes","No"))</f>
        <v/>
      </c>
    </row>
    <row r="122" spans="7:11">
      <c r="G122" t="str">
        <f t="shared" si="9"/>
        <v/>
      </c>
      <c r="H122" t="str">
        <f t="shared" si="10"/>
        <v/>
      </c>
      <c r="I122" t="str">
        <f t="shared" si="11"/>
        <v/>
      </c>
      <c r="J122" t="str">
        <f>IF(A122="","",SUMIFS($I$5:I122,$C$5:C122,C122,$A$5:A122,A122))</f>
        <v/>
      </c>
      <c r="K122" t="str">
        <f>IF(A122="","",IF(J122=MAXIFS($J$5:$J$200,$A$5:$A$200,A122,$B$5:$B$200,B122),"Yes","No"))</f>
        <v/>
      </c>
    </row>
    <row r="123" spans="7:11">
      <c r="G123" t="str">
        <f t="shared" si="9"/>
        <v/>
      </c>
      <c r="H123" t="str">
        <f t="shared" si="10"/>
        <v/>
      </c>
      <c r="I123" t="str">
        <f t="shared" si="11"/>
        <v/>
      </c>
      <c r="J123" t="str">
        <f>IF(A123="","",SUMIFS($I$5:I123,$C$5:C123,C123,$A$5:A123,A123))</f>
        <v/>
      </c>
      <c r="K123" t="str">
        <f>IF(A123="","",IF(J123=MAXIFS($J$5:$J$200,$A$5:$A$200,A123,$B$5:$B$200,B123),"Yes","No"))</f>
        <v/>
      </c>
    </row>
    <row r="124" spans="7:11">
      <c r="G124" t="str">
        <f t="shared" si="9"/>
        <v/>
      </c>
      <c r="H124" t="str">
        <f t="shared" si="10"/>
        <v/>
      </c>
      <c r="I124" t="str">
        <f t="shared" si="11"/>
        <v/>
      </c>
      <c r="J124" t="str">
        <f>IF(A124="","",SUMIFS($I$5:I124,$C$5:C124,C124,$A$5:A124,A124))</f>
        <v/>
      </c>
      <c r="K124" t="str">
        <f>IF(A124="","",IF(J124=MAXIFS($J$5:$J$200,$A$5:$A$200,A124,$B$5:$B$200,B124),"Yes","No"))</f>
        <v/>
      </c>
    </row>
    <row r="125" spans="7:11">
      <c r="G125" t="str">
        <f t="shared" si="9"/>
        <v/>
      </c>
      <c r="H125" t="str">
        <f t="shared" si="10"/>
        <v/>
      </c>
      <c r="I125" t="str">
        <f t="shared" si="11"/>
        <v/>
      </c>
      <c r="J125" t="str">
        <f>IF(A125="","",SUMIFS($I$5:I125,$C$5:C125,C125,$A$5:A125,A125))</f>
        <v/>
      </c>
      <c r="K125" t="str">
        <f>IF(A125="","",IF(J125=MAXIFS($J$5:$J$200,$A$5:$A$200,A125,$B$5:$B$200,B125),"Yes","No"))</f>
        <v/>
      </c>
    </row>
    <row r="126" spans="7:11">
      <c r="G126" t="str">
        <f t="shared" si="9"/>
        <v/>
      </c>
      <c r="H126" t="str">
        <f t="shared" si="10"/>
        <v/>
      </c>
      <c r="I126" t="str">
        <f t="shared" si="11"/>
        <v/>
      </c>
      <c r="J126" t="str">
        <f>IF(A126="","",SUMIFS($I$5:I126,$C$5:C126,C126,$A$5:A126,A126))</f>
        <v/>
      </c>
      <c r="K126" t="str">
        <f>IF(A126="","",IF(J126=MAXIFS($J$5:$J$200,$A$5:$A$200,A126,$B$5:$B$200,B126),"Yes","No"))</f>
        <v/>
      </c>
    </row>
    <row r="127" spans="7:11">
      <c r="G127" t="str">
        <f t="shared" si="9"/>
        <v/>
      </c>
      <c r="H127" t="str">
        <f t="shared" si="10"/>
        <v/>
      </c>
      <c r="I127" t="str">
        <f t="shared" si="11"/>
        <v/>
      </c>
      <c r="J127" t="str">
        <f>IF(A127="","",SUMIFS($I$5:I127,$C$5:C127,C127,$A$5:A127,A127))</f>
        <v/>
      </c>
      <c r="K127" t="str">
        <f>IF(A127="","",IF(J127=MAXIFS($J$5:$J$200,$A$5:$A$200,A127,$B$5:$B$200,B127),"Yes","No"))</f>
        <v/>
      </c>
    </row>
    <row r="128" spans="7:11">
      <c r="G128" t="str">
        <f t="shared" si="9"/>
        <v/>
      </c>
      <c r="H128" t="str">
        <f t="shared" si="10"/>
        <v/>
      </c>
      <c r="I128" t="str">
        <f t="shared" si="11"/>
        <v/>
      </c>
      <c r="J128" t="str">
        <f>IF(A128="","",SUMIFS($I$5:I128,$C$5:C128,C128,$A$5:A128,A128))</f>
        <v/>
      </c>
      <c r="K128" t="str">
        <f>IF(A128="","",IF(J128=MAXIFS($J$5:$J$200,$A$5:$A$200,A128,$B$5:$B$200,B128),"Yes","No"))</f>
        <v/>
      </c>
    </row>
    <row r="129" spans="7:11">
      <c r="G129" t="str">
        <f t="shared" si="9"/>
        <v/>
      </c>
      <c r="H129" t="str">
        <f t="shared" si="10"/>
        <v/>
      </c>
      <c r="I129" t="str">
        <f t="shared" si="11"/>
        <v/>
      </c>
      <c r="J129" t="str">
        <f>IF(A129="","",SUMIFS($I$5:I129,$C$5:C129,C129,$A$5:A129,A129))</f>
        <v/>
      </c>
      <c r="K129" t="str">
        <f>IF(A129="","",IF(J129=MAXIFS($J$5:$J$200,$A$5:$A$200,A129,$B$5:$B$200,B129),"Yes","No"))</f>
        <v/>
      </c>
    </row>
    <row r="130" spans="7:11">
      <c r="G130" t="str">
        <f t="shared" si="9"/>
        <v/>
      </c>
      <c r="H130" t="str">
        <f t="shared" si="10"/>
        <v/>
      </c>
      <c r="I130" t="str">
        <f t="shared" si="11"/>
        <v/>
      </c>
      <c r="J130" t="str">
        <f>IF(A130="","",SUMIFS($I$5:I130,$C$5:C130,C130,$A$5:A130,A130))</f>
        <v/>
      </c>
      <c r="K130" t="str">
        <f>IF(A130="","",IF(J130=MAXIFS($J$5:$J$200,$A$5:$A$200,A130,$B$5:$B$200,B130),"Yes","No"))</f>
        <v/>
      </c>
    </row>
    <row r="131" spans="7:11">
      <c r="G131" t="str">
        <f t="shared" si="9"/>
        <v/>
      </c>
      <c r="H131" t="str">
        <f t="shared" si="10"/>
        <v/>
      </c>
      <c r="I131" t="str">
        <f t="shared" si="11"/>
        <v/>
      </c>
      <c r="J131" t="str">
        <f>IF(A131="","",SUMIFS($I$5:I131,$C$5:C131,C131,$A$5:A131,A131))</f>
        <v/>
      </c>
      <c r="K131" t="str">
        <f>IF(A131="","",IF(J131=MAXIFS($J$5:$J$200,$A$5:$A$200,A131,$B$5:$B$200,B131),"Yes","No"))</f>
        <v/>
      </c>
    </row>
    <row r="132" spans="7:11">
      <c r="G132" t="str">
        <f t="shared" si="9"/>
        <v/>
      </c>
      <c r="H132" t="str">
        <f t="shared" si="10"/>
        <v/>
      </c>
      <c r="I132" t="str">
        <f t="shared" si="11"/>
        <v/>
      </c>
      <c r="J132" t="str">
        <f>IF(A132="","",SUMIFS($I$5:I132,$C$5:C132,C132,$A$5:A132,A132))</f>
        <v/>
      </c>
      <c r="K132" t="str">
        <f>IF(A132="","",IF(J132=MAXIFS($J$5:$J$200,$A$5:$A$200,A132,$B$5:$B$200,B132),"Yes","No"))</f>
        <v/>
      </c>
    </row>
    <row r="133" spans="7:11">
      <c r="G133" t="str">
        <f t="shared" ref="G133:G164" si="12">IF(A133="","",ABS(E133-F133))</f>
        <v/>
      </c>
      <c r="H133" t="str">
        <f t="shared" ref="H133:H164" si="13">IF(A133="","",IF(E133=F133,"Yes","No"))</f>
        <v/>
      </c>
      <c r="I133" t="str">
        <f t="shared" ref="I133:I164" si="14">IF(A133="","",IF(H133="Yes",10+E133,-G133*1))</f>
        <v/>
      </c>
      <c r="J133" t="str">
        <f>IF(A133="","",SUMIFS($I$5:I133,$C$5:C133,C133,$A$5:A133,A133))</f>
        <v/>
      </c>
      <c r="K133" t="str">
        <f>IF(A133="","",IF(J133=MAXIFS($J$5:$J$200,$A$5:$A$200,A133,$B$5:$B$200,B133),"Yes","No"))</f>
        <v/>
      </c>
    </row>
    <row r="134" spans="7:11">
      <c r="G134" t="str">
        <f t="shared" si="12"/>
        <v/>
      </c>
      <c r="H134" t="str">
        <f t="shared" si="13"/>
        <v/>
      </c>
      <c r="I134" t="str">
        <f t="shared" si="14"/>
        <v/>
      </c>
      <c r="J134" t="str">
        <f>IF(A134="","",SUMIFS($I$5:I134,$C$5:C134,C134,$A$5:A134,A134))</f>
        <v/>
      </c>
      <c r="K134" t="str">
        <f>IF(A134="","",IF(J134=MAXIFS($J$5:$J$200,$A$5:$A$200,A134,$B$5:$B$200,B134),"Yes","No"))</f>
        <v/>
      </c>
    </row>
    <row r="135" spans="7:11">
      <c r="G135" t="str">
        <f t="shared" si="12"/>
        <v/>
      </c>
      <c r="H135" t="str">
        <f t="shared" si="13"/>
        <v/>
      </c>
      <c r="I135" t="str">
        <f t="shared" si="14"/>
        <v/>
      </c>
      <c r="J135" t="str">
        <f>IF(A135="","",SUMIFS($I$5:I135,$C$5:C135,C135,$A$5:A135,A135))</f>
        <v/>
      </c>
      <c r="K135" t="str">
        <f>IF(A135="","",IF(J135=MAXIFS($J$5:$J$200,$A$5:$A$200,A135,$B$5:$B$200,B135),"Yes","No"))</f>
        <v/>
      </c>
    </row>
    <row r="136" spans="7:11">
      <c r="G136" t="str">
        <f t="shared" si="12"/>
        <v/>
      </c>
      <c r="H136" t="str">
        <f t="shared" si="13"/>
        <v/>
      </c>
      <c r="I136" t="str">
        <f t="shared" si="14"/>
        <v/>
      </c>
      <c r="J136" t="str">
        <f>IF(A136="","",SUMIFS($I$5:I136,$C$5:C136,C136,$A$5:A136,A136))</f>
        <v/>
      </c>
      <c r="K136" t="str">
        <f>IF(A136="","",IF(J136=MAXIFS($J$5:$J$200,$A$5:$A$200,A136,$B$5:$B$200,B136),"Yes","No"))</f>
        <v/>
      </c>
    </row>
    <row r="137" spans="7:11">
      <c r="G137" t="str">
        <f t="shared" si="12"/>
        <v/>
      </c>
      <c r="H137" t="str">
        <f t="shared" si="13"/>
        <v/>
      </c>
      <c r="I137" t="str">
        <f t="shared" si="14"/>
        <v/>
      </c>
      <c r="J137" t="str">
        <f>IF(A137="","",SUMIFS($I$5:I137,$C$5:C137,C137,$A$5:A137,A137))</f>
        <v/>
      </c>
      <c r="K137" t="str">
        <f>IF(A137="","",IF(J137=MAXIFS($J$5:$J$200,$A$5:$A$200,A137,$B$5:$B$200,B137),"Yes","No"))</f>
        <v/>
      </c>
    </row>
    <row r="138" spans="7:11">
      <c r="G138" t="str">
        <f t="shared" si="12"/>
        <v/>
      </c>
      <c r="H138" t="str">
        <f t="shared" si="13"/>
        <v/>
      </c>
      <c r="I138" t="str">
        <f t="shared" si="14"/>
        <v/>
      </c>
      <c r="J138" t="str">
        <f>IF(A138="","",SUMIFS($I$5:I138,$C$5:C138,C138,$A$5:A138,A138))</f>
        <v/>
      </c>
      <c r="K138" t="str">
        <f>IF(A138="","",IF(J138=MAXIFS($J$5:$J$200,$A$5:$A$200,A138,$B$5:$B$200,B138),"Yes","No"))</f>
        <v/>
      </c>
    </row>
    <row r="139" spans="7:11">
      <c r="G139" t="str">
        <f t="shared" si="12"/>
        <v/>
      </c>
      <c r="H139" t="str">
        <f t="shared" si="13"/>
        <v/>
      </c>
      <c r="I139" t="str">
        <f t="shared" si="14"/>
        <v/>
      </c>
      <c r="J139" t="str">
        <f>IF(A139="","",SUMIFS($I$5:I139,$C$5:C139,C139,$A$5:A139,A139))</f>
        <v/>
      </c>
      <c r="K139" t="str">
        <f>IF(A139="","",IF(J139=MAXIFS($J$5:$J$200,$A$5:$A$200,A139,$B$5:$B$200,B139),"Yes","No"))</f>
        <v/>
      </c>
    </row>
    <row r="140" spans="7:11">
      <c r="G140" t="str">
        <f t="shared" si="12"/>
        <v/>
      </c>
      <c r="H140" t="str">
        <f t="shared" si="13"/>
        <v/>
      </c>
      <c r="I140" t="str">
        <f t="shared" si="14"/>
        <v/>
      </c>
      <c r="J140" t="str">
        <f>IF(A140="","",SUMIFS($I$5:I140,$C$5:C140,C140,$A$5:A140,A140))</f>
        <v/>
      </c>
      <c r="K140" t="str">
        <f>IF(A140="","",IF(J140=MAXIFS($J$5:$J$200,$A$5:$A$200,A140,$B$5:$B$200,B140),"Yes","No"))</f>
        <v/>
      </c>
    </row>
    <row r="141" spans="7:11">
      <c r="G141" t="str">
        <f t="shared" si="12"/>
        <v/>
      </c>
      <c r="H141" t="str">
        <f t="shared" si="13"/>
        <v/>
      </c>
      <c r="I141" t="str">
        <f t="shared" si="14"/>
        <v/>
      </c>
      <c r="J141" t="str">
        <f>IF(A141="","",SUMIFS($I$5:I141,$C$5:C141,C141,$A$5:A141,A141))</f>
        <v/>
      </c>
      <c r="K141" t="str">
        <f>IF(A141="","",IF(J141=MAXIFS($J$5:$J$200,$A$5:$A$200,A141,$B$5:$B$200,B141),"Yes","No"))</f>
        <v/>
      </c>
    </row>
    <row r="142" spans="7:11">
      <c r="G142" t="str">
        <f t="shared" si="12"/>
        <v/>
      </c>
      <c r="H142" t="str">
        <f t="shared" si="13"/>
        <v/>
      </c>
      <c r="I142" t="str">
        <f t="shared" si="14"/>
        <v/>
      </c>
      <c r="J142" t="str">
        <f>IF(A142="","",SUMIFS($I$5:I142,$C$5:C142,C142,$A$5:A142,A142))</f>
        <v/>
      </c>
      <c r="K142" t="str">
        <f>IF(A142="","",IF(J142=MAXIFS($J$5:$J$200,$A$5:$A$200,A142,$B$5:$B$200,B142),"Yes","No"))</f>
        <v/>
      </c>
    </row>
    <row r="143" spans="7:11">
      <c r="G143" t="str">
        <f t="shared" si="12"/>
        <v/>
      </c>
      <c r="H143" t="str">
        <f t="shared" si="13"/>
        <v/>
      </c>
      <c r="I143" t="str">
        <f t="shared" si="14"/>
        <v/>
      </c>
      <c r="J143" t="str">
        <f>IF(A143="","",SUMIFS($I$5:I143,$C$5:C143,C143,$A$5:A143,A143))</f>
        <v/>
      </c>
      <c r="K143" t="str">
        <f>IF(A143="","",IF(J143=MAXIFS($J$5:$J$200,$A$5:$A$200,A143,$B$5:$B$200,B143),"Yes","No"))</f>
        <v/>
      </c>
    </row>
    <row r="144" spans="7:11">
      <c r="G144" t="str">
        <f t="shared" si="12"/>
        <v/>
      </c>
      <c r="H144" t="str">
        <f t="shared" si="13"/>
        <v/>
      </c>
      <c r="I144" t="str">
        <f t="shared" si="14"/>
        <v/>
      </c>
      <c r="J144" t="str">
        <f>IF(A144="","",SUMIFS($I$5:I144,$C$5:C144,C144,$A$5:A144,A144))</f>
        <v/>
      </c>
      <c r="K144" t="str">
        <f>IF(A144="","",IF(J144=MAXIFS($J$5:$J$200,$A$5:$A$200,A144,$B$5:$B$200,B144),"Yes","No"))</f>
        <v/>
      </c>
    </row>
    <row r="145" spans="7:11">
      <c r="G145" t="str">
        <f t="shared" si="12"/>
        <v/>
      </c>
      <c r="H145" t="str">
        <f t="shared" si="13"/>
        <v/>
      </c>
      <c r="I145" t="str">
        <f t="shared" si="14"/>
        <v/>
      </c>
      <c r="J145" t="str">
        <f>IF(A145="","",SUMIFS($I$5:I145,$C$5:C145,C145,$A$5:A145,A145))</f>
        <v/>
      </c>
      <c r="K145" t="str">
        <f>IF(A145="","",IF(J145=MAXIFS($J$5:$J$200,$A$5:$A$200,A145,$B$5:$B$200,B145),"Yes","No"))</f>
        <v/>
      </c>
    </row>
    <row r="146" spans="7:11">
      <c r="G146" t="str">
        <f t="shared" si="12"/>
        <v/>
      </c>
      <c r="H146" t="str">
        <f t="shared" si="13"/>
        <v/>
      </c>
      <c r="I146" t="str">
        <f t="shared" si="14"/>
        <v/>
      </c>
      <c r="J146" t="str">
        <f>IF(A146="","",SUMIFS($I$5:I146,$C$5:C146,C146,$A$5:A146,A146))</f>
        <v/>
      </c>
      <c r="K146" t="str">
        <f>IF(A146="","",IF(J146=MAXIFS($J$5:$J$200,$A$5:$A$200,A146,$B$5:$B$200,B146),"Yes","No"))</f>
        <v/>
      </c>
    </row>
    <row r="147" spans="7:11">
      <c r="G147" t="str">
        <f t="shared" si="12"/>
        <v/>
      </c>
      <c r="H147" t="str">
        <f t="shared" si="13"/>
        <v/>
      </c>
      <c r="I147" t="str">
        <f t="shared" si="14"/>
        <v/>
      </c>
      <c r="J147" t="str">
        <f>IF(A147="","",SUMIFS($I$5:I147,$C$5:C147,C147,$A$5:A147,A147))</f>
        <v/>
      </c>
      <c r="K147" t="str">
        <f>IF(A147="","",IF(J147=MAXIFS($J$5:$J$200,$A$5:$A$200,A147,$B$5:$B$200,B147),"Yes","No"))</f>
        <v/>
      </c>
    </row>
    <row r="148" spans="7:11">
      <c r="G148" t="str">
        <f t="shared" si="12"/>
        <v/>
      </c>
      <c r="H148" t="str">
        <f t="shared" si="13"/>
        <v/>
      </c>
      <c r="I148" t="str">
        <f t="shared" si="14"/>
        <v/>
      </c>
      <c r="J148" t="str">
        <f>IF(A148="","",SUMIFS($I$5:I148,$C$5:C148,C148,$A$5:A148,A148))</f>
        <v/>
      </c>
      <c r="K148" t="str">
        <f>IF(A148="","",IF(J148=MAXIFS($J$5:$J$200,$A$5:$A$200,A148,$B$5:$B$200,B148),"Yes","No"))</f>
        <v/>
      </c>
    </row>
    <row r="149" spans="7:11">
      <c r="G149" t="str">
        <f t="shared" si="12"/>
        <v/>
      </c>
      <c r="H149" t="str">
        <f t="shared" si="13"/>
        <v/>
      </c>
      <c r="I149" t="str">
        <f t="shared" si="14"/>
        <v/>
      </c>
      <c r="J149" t="str">
        <f>IF(A149="","",SUMIFS($I$5:I149,$C$5:C149,C149,$A$5:A149,A149))</f>
        <v/>
      </c>
      <c r="K149" t="str">
        <f>IF(A149="","",IF(J149=MAXIFS($J$5:$J$200,$A$5:$A$200,A149,$B$5:$B$200,B149),"Yes","No"))</f>
        <v/>
      </c>
    </row>
    <row r="150" spans="7:11">
      <c r="G150" t="str">
        <f t="shared" si="12"/>
        <v/>
      </c>
      <c r="H150" t="str">
        <f t="shared" si="13"/>
        <v/>
      </c>
      <c r="I150" t="str">
        <f t="shared" si="14"/>
        <v/>
      </c>
      <c r="J150" t="str">
        <f>IF(A150="","",SUMIFS($I$5:I150,$C$5:C150,C150,$A$5:A150,A150))</f>
        <v/>
      </c>
      <c r="K150" t="str">
        <f>IF(A150="","",IF(J150=MAXIFS($J$5:$J$200,$A$5:$A$200,A150,$B$5:$B$200,B150),"Yes","No"))</f>
        <v/>
      </c>
    </row>
    <row r="151" spans="7:11">
      <c r="G151" t="str">
        <f t="shared" si="12"/>
        <v/>
      </c>
      <c r="H151" t="str">
        <f t="shared" si="13"/>
        <v/>
      </c>
      <c r="I151" t="str">
        <f t="shared" si="14"/>
        <v/>
      </c>
      <c r="J151" t="str">
        <f>IF(A151="","",SUMIFS($I$5:I151,$C$5:C151,C151,$A$5:A151,A151))</f>
        <v/>
      </c>
      <c r="K151" t="str">
        <f>IF(A151="","",IF(J151=MAXIFS($J$5:$J$200,$A$5:$A$200,A151,$B$5:$B$200,B151),"Yes","No"))</f>
        <v/>
      </c>
    </row>
    <row r="152" spans="7:11">
      <c r="G152" t="str">
        <f t="shared" si="12"/>
        <v/>
      </c>
      <c r="H152" t="str">
        <f t="shared" si="13"/>
        <v/>
      </c>
      <c r="I152" t="str">
        <f t="shared" si="14"/>
        <v/>
      </c>
      <c r="J152" t="str">
        <f>IF(A152="","",SUMIFS($I$5:I152,$C$5:C152,C152,$A$5:A152,A152))</f>
        <v/>
      </c>
      <c r="K152" t="str">
        <f>IF(A152="","",IF(J152=MAXIFS($J$5:$J$200,$A$5:$A$200,A152,$B$5:$B$200,B152),"Yes","No"))</f>
        <v/>
      </c>
    </row>
    <row r="153" spans="7:11">
      <c r="G153" t="str">
        <f t="shared" si="12"/>
        <v/>
      </c>
      <c r="H153" t="str">
        <f t="shared" si="13"/>
        <v/>
      </c>
      <c r="I153" t="str">
        <f t="shared" si="14"/>
        <v/>
      </c>
      <c r="J153" t="str">
        <f>IF(A153="","",SUMIFS($I$5:I153,$C$5:C153,C153,$A$5:A153,A153))</f>
        <v/>
      </c>
      <c r="K153" t="str">
        <f>IF(A153="","",IF(J153=MAXIFS($J$5:$J$200,$A$5:$A$200,A153,$B$5:$B$200,B153),"Yes","No"))</f>
        <v/>
      </c>
    </row>
    <row r="154" spans="7:11">
      <c r="G154" t="str">
        <f t="shared" si="12"/>
        <v/>
      </c>
      <c r="H154" t="str">
        <f t="shared" si="13"/>
        <v/>
      </c>
      <c r="I154" t="str">
        <f t="shared" si="14"/>
        <v/>
      </c>
      <c r="J154" t="str">
        <f>IF(A154="","",SUMIFS($I$5:I154,$C$5:C154,C154,$A$5:A154,A154))</f>
        <v/>
      </c>
      <c r="K154" t="str">
        <f>IF(A154="","",IF(J154=MAXIFS($J$5:$J$200,$A$5:$A$200,A154,$B$5:$B$200,B154),"Yes","No"))</f>
        <v/>
      </c>
    </row>
    <row r="155" spans="7:11">
      <c r="G155" t="str">
        <f t="shared" si="12"/>
        <v/>
      </c>
      <c r="H155" t="str">
        <f t="shared" si="13"/>
        <v/>
      </c>
      <c r="I155" t="str">
        <f t="shared" si="14"/>
        <v/>
      </c>
      <c r="J155" t="str">
        <f>IF(A155="","",SUMIFS($I$5:I155,$C$5:C155,C155,$A$5:A155,A155))</f>
        <v/>
      </c>
      <c r="K155" t="str">
        <f>IF(A155="","",IF(J155=MAXIFS($J$5:$J$200,$A$5:$A$200,A155,$B$5:$B$200,B155),"Yes","No"))</f>
        <v/>
      </c>
    </row>
    <row r="156" spans="7:11">
      <c r="G156" t="str">
        <f t="shared" si="12"/>
        <v/>
      </c>
      <c r="H156" t="str">
        <f t="shared" si="13"/>
        <v/>
      </c>
      <c r="I156" t="str">
        <f t="shared" si="14"/>
        <v/>
      </c>
      <c r="J156" t="str">
        <f>IF(A156="","",SUMIFS($I$5:I156,$C$5:C156,C156,$A$5:A156,A156))</f>
        <v/>
      </c>
      <c r="K156" t="str">
        <f>IF(A156="","",IF(J156=MAXIFS($J$5:$J$200,$A$5:$A$200,A156,$B$5:$B$200,B156),"Yes","No"))</f>
        <v/>
      </c>
    </row>
    <row r="157" spans="7:11">
      <c r="G157" t="str">
        <f t="shared" si="12"/>
        <v/>
      </c>
      <c r="H157" t="str">
        <f t="shared" si="13"/>
        <v/>
      </c>
      <c r="I157" t="str">
        <f t="shared" si="14"/>
        <v/>
      </c>
      <c r="J157" t="str">
        <f>IF(A157="","",SUMIFS($I$5:I157,$C$5:C157,C157,$A$5:A157,A157))</f>
        <v/>
      </c>
      <c r="K157" t="str">
        <f>IF(A157="","",IF(J157=MAXIFS($J$5:$J$200,$A$5:$A$200,A157,$B$5:$B$200,B157),"Yes","No"))</f>
        <v/>
      </c>
    </row>
    <row r="158" spans="7:11">
      <c r="G158" t="str">
        <f t="shared" si="12"/>
        <v/>
      </c>
      <c r="H158" t="str">
        <f t="shared" si="13"/>
        <v/>
      </c>
      <c r="I158" t="str">
        <f t="shared" si="14"/>
        <v/>
      </c>
      <c r="J158" t="str">
        <f>IF(A158="","",SUMIFS($I$5:I158,$C$5:C158,C158,$A$5:A158,A158))</f>
        <v/>
      </c>
      <c r="K158" t="str">
        <f>IF(A158="","",IF(J158=MAXIFS($J$5:$J$200,$A$5:$A$200,A158,$B$5:$B$200,B158),"Yes","No"))</f>
        <v/>
      </c>
    </row>
    <row r="159" spans="7:11">
      <c r="G159" t="str">
        <f t="shared" si="12"/>
        <v/>
      </c>
      <c r="H159" t="str">
        <f t="shared" si="13"/>
        <v/>
      </c>
      <c r="I159" t="str">
        <f t="shared" si="14"/>
        <v/>
      </c>
      <c r="J159" t="str">
        <f>IF(A159="","",SUMIFS($I$5:I159,$C$5:C159,C159,$A$5:A159,A159))</f>
        <v/>
      </c>
      <c r="K159" t="str">
        <f>IF(A159="","",IF(J159=MAXIFS($J$5:$J$200,$A$5:$A$200,A159,$B$5:$B$200,B159),"Yes","No"))</f>
        <v/>
      </c>
    </row>
    <row r="160" spans="7:11">
      <c r="G160" t="str">
        <f t="shared" si="12"/>
        <v/>
      </c>
      <c r="H160" t="str">
        <f t="shared" si="13"/>
        <v/>
      </c>
      <c r="I160" t="str">
        <f t="shared" si="14"/>
        <v/>
      </c>
      <c r="J160" t="str">
        <f>IF(A160="","",SUMIFS($I$5:I160,$C$5:C160,C160,$A$5:A160,A160))</f>
        <v/>
      </c>
      <c r="K160" t="str">
        <f>IF(A160="","",IF(J160=MAXIFS($J$5:$J$200,$A$5:$A$200,A160,$B$5:$B$200,B160),"Yes","No"))</f>
        <v/>
      </c>
    </row>
    <row r="161" spans="7:11">
      <c r="G161" t="str">
        <f t="shared" si="12"/>
        <v/>
      </c>
      <c r="H161" t="str">
        <f t="shared" si="13"/>
        <v/>
      </c>
      <c r="I161" t="str">
        <f t="shared" si="14"/>
        <v/>
      </c>
      <c r="J161" t="str">
        <f>IF(A161="","",SUMIFS($I$5:I161,$C$5:C161,C161,$A$5:A161,A161))</f>
        <v/>
      </c>
      <c r="K161" t="str">
        <f>IF(A161="","",IF(J161=MAXIFS($J$5:$J$200,$A$5:$A$200,A161,$B$5:$B$200,B161),"Yes","No"))</f>
        <v/>
      </c>
    </row>
    <row r="162" spans="7:11">
      <c r="G162" t="str">
        <f t="shared" si="12"/>
        <v/>
      </c>
      <c r="H162" t="str">
        <f t="shared" si="13"/>
        <v/>
      </c>
      <c r="I162" t="str">
        <f t="shared" si="14"/>
        <v/>
      </c>
      <c r="J162" t="str">
        <f>IF(A162="","",SUMIFS($I$5:I162,$C$5:C162,C162,$A$5:A162,A162))</f>
        <v/>
      </c>
      <c r="K162" t="str">
        <f>IF(A162="","",IF(J162=MAXIFS($J$5:$J$200,$A$5:$A$200,A162,$B$5:$B$200,B162),"Yes","No"))</f>
        <v/>
      </c>
    </row>
    <row r="163" spans="7:11">
      <c r="G163" t="str">
        <f t="shared" si="12"/>
        <v/>
      </c>
      <c r="H163" t="str">
        <f t="shared" si="13"/>
        <v/>
      </c>
      <c r="I163" t="str">
        <f t="shared" si="14"/>
        <v/>
      </c>
      <c r="J163" t="str">
        <f>IF(A163="","",SUMIFS($I$5:I163,$C$5:C163,C163,$A$5:A163,A163))</f>
        <v/>
      </c>
      <c r="K163" t="str">
        <f>IF(A163="","",IF(J163=MAXIFS($J$5:$J$200,$A$5:$A$200,A163,$B$5:$B$200,B163),"Yes","No"))</f>
        <v/>
      </c>
    </row>
    <row r="164" spans="7:11">
      <c r="G164" t="str">
        <f t="shared" si="12"/>
        <v/>
      </c>
      <c r="H164" t="str">
        <f t="shared" si="13"/>
        <v/>
      </c>
      <c r="I164" t="str">
        <f t="shared" si="14"/>
        <v/>
      </c>
      <c r="J164" t="str">
        <f>IF(A164="","",SUMIFS($I$5:I164,$C$5:C164,C164,$A$5:A164,A164))</f>
        <v/>
      </c>
      <c r="K164" t="str">
        <f>IF(A164="","",IF(J164=MAXIFS($J$5:$J$200,$A$5:$A$200,A164,$B$5:$B$200,B164),"Yes","No"))</f>
        <v/>
      </c>
    </row>
    <row r="165" spans="7:11">
      <c r="G165" t="str">
        <f t="shared" ref="G165:G196" si="15">IF(A165="","",ABS(E165-F165))</f>
        <v/>
      </c>
      <c r="H165" t="str">
        <f t="shared" ref="H165:H200" si="16">IF(A165="","",IF(E165=F165,"Yes","No"))</f>
        <v/>
      </c>
      <c r="I165" t="str">
        <f t="shared" ref="I165:I196" si="17">IF(A165="","",IF(H165="Yes",10+E165,-G165*1))</f>
        <v/>
      </c>
      <c r="J165" t="str">
        <f>IF(A165="","",SUMIFS($I$5:I165,$C$5:C165,C165,$A$5:A165,A165))</f>
        <v/>
      </c>
      <c r="K165" t="str">
        <f>IF(A165="","",IF(J165=MAXIFS($J$5:$J$200,$A$5:$A$200,A165,$B$5:$B$200,B165),"Yes","No"))</f>
        <v/>
      </c>
    </row>
    <row r="166" spans="7:11">
      <c r="G166" t="str">
        <f t="shared" si="15"/>
        <v/>
      </c>
      <c r="H166" t="str">
        <f t="shared" si="16"/>
        <v/>
      </c>
      <c r="I166" t="str">
        <f t="shared" si="17"/>
        <v/>
      </c>
      <c r="J166" t="str">
        <f>IF(A166="","",SUMIFS($I$5:I166,$C$5:C166,C166,$A$5:A166,A166))</f>
        <v/>
      </c>
      <c r="K166" t="str">
        <f>IF(A166="","",IF(J166=MAXIFS($J$5:$J$200,$A$5:$A$200,A166,$B$5:$B$200,B166),"Yes","No"))</f>
        <v/>
      </c>
    </row>
    <row r="167" spans="7:11">
      <c r="G167" t="str">
        <f t="shared" si="15"/>
        <v/>
      </c>
      <c r="H167" t="str">
        <f t="shared" si="16"/>
        <v/>
      </c>
      <c r="I167" t="str">
        <f t="shared" si="17"/>
        <v/>
      </c>
      <c r="J167" t="str">
        <f>IF(A167="","",SUMIFS($I$5:I167,$C$5:C167,C167,$A$5:A167,A167))</f>
        <v/>
      </c>
      <c r="K167" t="str">
        <f>IF(A167="","",IF(J167=MAXIFS($J$5:$J$200,$A$5:$A$200,A167,$B$5:$B$200,B167),"Yes","No"))</f>
        <v/>
      </c>
    </row>
    <row r="168" spans="7:11">
      <c r="G168" t="str">
        <f t="shared" si="15"/>
        <v/>
      </c>
      <c r="H168" t="str">
        <f t="shared" si="16"/>
        <v/>
      </c>
      <c r="I168" t="str">
        <f t="shared" si="17"/>
        <v/>
      </c>
      <c r="J168" t="str">
        <f>IF(A168="","",SUMIFS($I$5:I168,$C$5:C168,C168,$A$5:A168,A168))</f>
        <v/>
      </c>
      <c r="K168" t="str">
        <f>IF(A168="","",IF(J168=MAXIFS($J$5:$J$200,$A$5:$A$200,A168,$B$5:$B$200,B168),"Yes","No"))</f>
        <v/>
      </c>
    </row>
    <row r="169" spans="7:11">
      <c r="G169" t="str">
        <f t="shared" si="15"/>
        <v/>
      </c>
      <c r="H169" t="str">
        <f t="shared" si="16"/>
        <v/>
      </c>
      <c r="I169" t="str">
        <f t="shared" si="17"/>
        <v/>
      </c>
      <c r="J169" t="str">
        <f>IF(A169="","",SUMIFS($I$5:I169,$C$5:C169,C169,$A$5:A169,A169))</f>
        <v/>
      </c>
      <c r="K169" t="str">
        <f>IF(A169="","",IF(J169=MAXIFS($J$5:$J$200,$A$5:$A$200,A169,$B$5:$B$200,B169),"Yes","No"))</f>
        <v/>
      </c>
    </row>
    <row r="170" spans="7:11">
      <c r="G170" t="str">
        <f t="shared" si="15"/>
        <v/>
      </c>
      <c r="H170" t="str">
        <f t="shared" si="16"/>
        <v/>
      </c>
      <c r="I170" t="str">
        <f t="shared" si="17"/>
        <v/>
      </c>
      <c r="J170" t="str">
        <f>IF(A170="","",SUMIFS($I$5:I170,$C$5:C170,C170,$A$5:A170,A170))</f>
        <v/>
      </c>
      <c r="K170" t="str">
        <f>IF(A170="","",IF(J170=MAXIFS($J$5:$J$200,$A$5:$A$200,A170,$B$5:$B$200,B170),"Yes","No"))</f>
        <v/>
      </c>
    </row>
    <row r="171" spans="7:11">
      <c r="G171" t="str">
        <f t="shared" si="15"/>
        <v/>
      </c>
      <c r="H171" t="str">
        <f t="shared" si="16"/>
        <v/>
      </c>
      <c r="I171" t="str">
        <f t="shared" si="17"/>
        <v/>
      </c>
      <c r="J171" t="str">
        <f>IF(A171="","",SUMIFS($I$5:I171,$C$5:C171,C171,$A$5:A171,A171))</f>
        <v/>
      </c>
      <c r="K171" t="str">
        <f>IF(A171="","",IF(J171=MAXIFS($J$5:$J$200,$A$5:$A$200,A171,$B$5:$B$200,B171),"Yes","No"))</f>
        <v/>
      </c>
    </row>
    <row r="172" spans="7:11">
      <c r="G172" t="str">
        <f t="shared" si="15"/>
        <v/>
      </c>
      <c r="H172" t="str">
        <f t="shared" si="16"/>
        <v/>
      </c>
      <c r="I172" t="str">
        <f t="shared" si="17"/>
        <v/>
      </c>
      <c r="J172" t="str">
        <f>IF(A172="","",SUMIFS($I$5:I172,$C$5:C172,C172,$A$5:A172,A172))</f>
        <v/>
      </c>
      <c r="K172" t="str">
        <f>IF(A172="","",IF(J172=MAXIFS($J$5:$J$200,$A$5:$A$200,A172,$B$5:$B$200,B172),"Yes","No"))</f>
        <v/>
      </c>
    </row>
    <row r="173" spans="7:11">
      <c r="G173" t="str">
        <f t="shared" si="15"/>
        <v/>
      </c>
      <c r="H173" t="str">
        <f t="shared" si="16"/>
        <v/>
      </c>
      <c r="I173" t="str">
        <f t="shared" si="17"/>
        <v/>
      </c>
      <c r="J173" t="str">
        <f>IF(A173="","",SUMIFS($I$5:I173,$C$5:C173,C173,$A$5:A173,A173))</f>
        <v/>
      </c>
      <c r="K173" t="str">
        <f>IF(A173="","",IF(J173=MAXIFS($J$5:$J$200,$A$5:$A$200,A173,$B$5:$B$200,B173),"Yes","No"))</f>
        <v/>
      </c>
    </row>
    <row r="174" spans="7:11">
      <c r="G174" t="str">
        <f t="shared" si="15"/>
        <v/>
      </c>
      <c r="H174" t="str">
        <f t="shared" si="16"/>
        <v/>
      </c>
      <c r="I174" t="str">
        <f t="shared" si="17"/>
        <v/>
      </c>
      <c r="J174" t="str">
        <f>IF(A174="","",SUMIFS($I$5:I174,$C$5:C174,C174,$A$5:A174,A174))</f>
        <v/>
      </c>
      <c r="K174" t="str">
        <f>IF(A174="","",IF(J174=MAXIFS($J$5:$J$200,$A$5:$A$200,A174,$B$5:$B$200,B174),"Yes","No"))</f>
        <v/>
      </c>
    </row>
    <row r="175" spans="7:11">
      <c r="G175" t="str">
        <f t="shared" si="15"/>
        <v/>
      </c>
      <c r="H175" t="str">
        <f t="shared" si="16"/>
        <v/>
      </c>
      <c r="I175" t="str">
        <f t="shared" si="17"/>
        <v/>
      </c>
      <c r="J175" t="str">
        <f>IF(A175="","",SUMIFS($I$5:I175,$C$5:C175,C175,$A$5:A175,A175))</f>
        <v/>
      </c>
      <c r="K175" t="str">
        <f>IF(A175="","",IF(J175=MAXIFS($J$5:$J$200,$A$5:$A$200,A175,$B$5:$B$200,B175),"Yes","No"))</f>
        <v/>
      </c>
    </row>
    <row r="176" spans="7:11">
      <c r="G176" t="str">
        <f t="shared" si="15"/>
        <v/>
      </c>
      <c r="H176" t="str">
        <f t="shared" si="16"/>
        <v/>
      </c>
      <c r="I176" t="str">
        <f t="shared" si="17"/>
        <v/>
      </c>
      <c r="J176" t="str">
        <f>IF(A176="","",SUMIFS($I$5:I176,$C$5:C176,C176,$A$5:A176,A176))</f>
        <v/>
      </c>
      <c r="K176" t="str">
        <f>IF(A176="","",IF(J176=MAXIFS($J$5:$J$200,$A$5:$A$200,A176,$B$5:$B$200,B176),"Yes","No"))</f>
        <v/>
      </c>
    </row>
    <row r="177" spans="7:11">
      <c r="G177" t="str">
        <f t="shared" si="15"/>
        <v/>
      </c>
      <c r="H177" t="str">
        <f t="shared" si="16"/>
        <v/>
      </c>
      <c r="I177" t="str">
        <f t="shared" si="17"/>
        <v/>
      </c>
      <c r="J177" t="str">
        <f>IF(A177="","",SUMIFS($I$5:I177,$C$5:C177,C177,$A$5:A177,A177))</f>
        <v/>
      </c>
      <c r="K177" t="str">
        <f>IF(A177="","",IF(J177=MAXIFS($J$5:$J$200,$A$5:$A$200,A177,$B$5:$B$200,B177),"Yes","No"))</f>
        <v/>
      </c>
    </row>
    <row r="178" spans="7:11">
      <c r="G178" t="str">
        <f t="shared" si="15"/>
        <v/>
      </c>
      <c r="H178" t="str">
        <f t="shared" si="16"/>
        <v/>
      </c>
      <c r="I178" t="str">
        <f t="shared" si="17"/>
        <v/>
      </c>
      <c r="J178" t="str">
        <f>IF(A178="","",SUMIFS($I$5:I178,$C$5:C178,C178,$A$5:A178,A178))</f>
        <v/>
      </c>
      <c r="K178" t="str">
        <f>IF(A178="","",IF(J178=MAXIFS($J$5:$J$200,$A$5:$A$200,A178,$B$5:$B$200,B178),"Yes","No"))</f>
        <v/>
      </c>
    </row>
    <row r="179" spans="7:11">
      <c r="G179" t="str">
        <f t="shared" si="15"/>
        <v/>
      </c>
      <c r="H179" t="str">
        <f t="shared" si="16"/>
        <v/>
      </c>
      <c r="I179" t="str">
        <f t="shared" si="17"/>
        <v/>
      </c>
      <c r="J179" t="str">
        <f>IF(A179="","",SUMIFS($I$5:I179,$C$5:C179,C179,$A$5:A179,A179))</f>
        <v/>
      </c>
      <c r="K179" t="str">
        <f>IF(A179="","",IF(J179=MAXIFS($J$5:$J$200,$A$5:$A$200,A179,$B$5:$B$200,B179),"Yes","No"))</f>
        <v/>
      </c>
    </row>
    <row r="180" spans="7:11">
      <c r="G180" t="str">
        <f t="shared" si="15"/>
        <v/>
      </c>
      <c r="H180" t="str">
        <f t="shared" si="16"/>
        <v/>
      </c>
      <c r="I180" t="str">
        <f t="shared" si="17"/>
        <v/>
      </c>
      <c r="J180" t="str">
        <f>IF(A180="","",SUMIFS($I$5:I180,$C$5:C180,C180,$A$5:A180,A180))</f>
        <v/>
      </c>
      <c r="K180" t="str">
        <f>IF(A180="","",IF(J180=MAXIFS($J$5:$J$200,$A$5:$A$200,A180,$B$5:$B$200,B180),"Yes","No"))</f>
        <v/>
      </c>
    </row>
    <row r="181" spans="7:11">
      <c r="G181" t="str">
        <f t="shared" si="15"/>
        <v/>
      </c>
      <c r="H181" t="str">
        <f t="shared" si="16"/>
        <v/>
      </c>
      <c r="I181" t="str">
        <f t="shared" si="17"/>
        <v/>
      </c>
      <c r="J181" t="str">
        <f>IF(A181="","",SUMIFS($I$5:I181,$C$5:C181,C181,$A$5:A181,A181))</f>
        <v/>
      </c>
      <c r="K181" t="str">
        <f>IF(A181="","",IF(J181=MAXIFS($J$5:$J$200,$A$5:$A$200,A181,$B$5:$B$200,B181),"Yes","No"))</f>
        <v/>
      </c>
    </row>
    <row r="182" spans="7:11">
      <c r="G182" t="str">
        <f t="shared" si="15"/>
        <v/>
      </c>
      <c r="H182" t="str">
        <f t="shared" si="16"/>
        <v/>
      </c>
      <c r="I182" t="str">
        <f t="shared" si="17"/>
        <v/>
      </c>
      <c r="J182" t="str">
        <f>IF(A182="","",SUMIFS($I$5:I182,$C$5:C182,C182,$A$5:A182,A182))</f>
        <v/>
      </c>
      <c r="K182" t="str">
        <f>IF(A182="","",IF(J182=MAXIFS($J$5:$J$200,$A$5:$A$200,A182,$B$5:$B$200,B182),"Yes","No"))</f>
        <v/>
      </c>
    </row>
    <row r="183" spans="7:11">
      <c r="G183" t="str">
        <f t="shared" si="15"/>
        <v/>
      </c>
      <c r="H183" t="str">
        <f t="shared" si="16"/>
        <v/>
      </c>
      <c r="I183" t="str">
        <f t="shared" si="17"/>
        <v/>
      </c>
      <c r="J183" t="str">
        <f>IF(A183="","",SUMIFS($I$5:I183,$C$5:C183,C183,$A$5:A183,A183))</f>
        <v/>
      </c>
      <c r="K183" t="str">
        <f>IF(A183="","",IF(J183=MAXIFS($J$5:$J$200,$A$5:$A$200,A183,$B$5:$B$200,B183),"Yes","No"))</f>
        <v/>
      </c>
    </row>
    <row r="184" spans="7:11">
      <c r="G184" t="str">
        <f t="shared" si="15"/>
        <v/>
      </c>
      <c r="H184" t="str">
        <f t="shared" si="16"/>
        <v/>
      </c>
      <c r="I184" t="str">
        <f t="shared" si="17"/>
        <v/>
      </c>
      <c r="J184" t="str">
        <f>IF(A184="","",SUMIFS($I$5:I184,$C$5:C184,C184,$A$5:A184,A184))</f>
        <v/>
      </c>
      <c r="K184" t="str">
        <f>IF(A184="","",IF(J184=MAXIFS($J$5:$J$200,$A$5:$A$200,A184,$B$5:$B$200,B184),"Yes","No"))</f>
        <v/>
      </c>
    </row>
    <row r="185" spans="7:11">
      <c r="G185" t="str">
        <f t="shared" si="15"/>
        <v/>
      </c>
      <c r="H185" t="str">
        <f t="shared" si="16"/>
        <v/>
      </c>
      <c r="I185" t="str">
        <f t="shared" si="17"/>
        <v/>
      </c>
      <c r="J185" t="str">
        <f>IF(A185="","",SUMIFS($I$5:I185,$C$5:C185,C185,$A$5:A185,A185))</f>
        <v/>
      </c>
      <c r="K185" t="str">
        <f>IF(A185="","",IF(J185=MAXIFS($J$5:$J$200,$A$5:$A$200,A185,$B$5:$B$200,B185),"Yes","No"))</f>
        <v/>
      </c>
    </row>
    <row r="186" spans="7:11">
      <c r="G186" t="str">
        <f t="shared" si="15"/>
        <v/>
      </c>
      <c r="H186" t="str">
        <f t="shared" si="16"/>
        <v/>
      </c>
      <c r="I186" t="str">
        <f t="shared" si="17"/>
        <v/>
      </c>
      <c r="J186" t="str">
        <f>IF(A186="","",SUMIFS($I$5:I186,$C$5:C186,C186,$A$5:A186,A186))</f>
        <v/>
      </c>
      <c r="K186" t="str">
        <f>IF(A186="","",IF(J186=MAXIFS($J$5:$J$200,$A$5:$A$200,A186,$B$5:$B$200,B186),"Yes","No"))</f>
        <v/>
      </c>
    </row>
    <row r="187" spans="7:11">
      <c r="G187" t="str">
        <f t="shared" si="15"/>
        <v/>
      </c>
      <c r="H187" t="str">
        <f t="shared" si="16"/>
        <v/>
      </c>
      <c r="I187" t="str">
        <f t="shared" si="17"/>
        <v/>
      </c>
      <c r="J187" t="str">
        <f>IF(A187="","",SUMIFS($I$5:I187,$C$5:C187,C187,$A$5:A187,A187))</f>
        <v/>
      </c>
      <c r="K187" t="str">
        <f>IF(A187="","",IF(J187=MAXIFS($J$5:$J$200,$A$5:$A$200,A187,$B$5:$B$200,B187),"Yes","No"))</f>
        <v/>
      </c>
    </row>
    <row r="188" spans="7:11">
      <c r="G188" t="str">
        <f t="shared" si="15"/>
        <v/>
      </c>
      <c r="H188" t="str">
        <f t="shared" si="16"/>
        <v/>
      </c>
      <c r="I188" t="str">
        <f t="shared" si="17"/>
        <v/>
      </c>
      <c r="J188" t="str">
        <f>IF(A188="","",SUMIFS($I$5:I188,$C$5:C188,C188,$A$5:A188,A188))</f>
        <v/>
      </c>
      <c r="K188" t="str">
        <f>IF(A188="","",IF(J188=MAXIFS($J$5:$J$200,$A$5:$A$200,A188,$B$5:$B$200,B188),"Yes","No"))</f>
        <v/>
      </c>
    </row>
    <row r="189" spans="7:11">
      <c r="G189" t="str">
        <f t="shared" si="15"/>
        <v/>
      </c>
      <c r="H189" t="str">
        <f t="shared" si="16"/>
        <v/>
      </c>
      <c r="I189" t="str">
        <f t="shared" si="17"/>
        <v/>
      </c>
      <c r="J189" t="str">
        <f>IF(A189="","",SUMIFS($I$5:I189,$C$5:C189,C189,$A$5:A189,A189))</f>
        <v/>
      </c>
      <c r="K189" t="str">
        <f>IF(A189="","",IF(J189=MAXIFS($J$5:$J$200,$A$5:$A$200,A189,$B$5:$B$200,B189),"Yes","No"))</f>
        <v/>
      </c>
    </row>
    <row r="190" spans="7:11">
      <c r="G190" t="str">
        <f t="shared" si="15"/>
        <v/>
      </c>
      <c r="H190" t="str">
        <f t="shared" si="16"/>
        <v/>
      </c>
      <c r="I190" t="str">
        <f t="shared" si="17"/>
        <v/>
      </c>
      <c r="J190" t="str">
        <f>IF(A190="","",SUMIFS($I$5:I190,$C$5:C190,C190,$A$5:A190,A190))</f>
        <v/>
      </c>
      <c r="K190" t="str">
        <f>IF(A190="","",IF(J190=MAXIFS($J$5:$J$200,$A$5:$A$200,A190,$B$5:$B$200,B190),"Yes","No"))</f>
        <v/>
      </c>
    </row>
    <row r="191" spans="7:11">
      <c r="G191" t="str">
        <f t="shared" si="15"/>
        <v/>
      </c>
      <c r="H191" t="str">
        <f t="shared" si="16"/>
        <v/>
      </c>
      <c r="I191" t="str">
        <f t="shared" si="17"/>
        <v/>
      </c>
      <c r="J191" t="str">
        <f>IF(A191="","",SUMIFS($I$5:I191,$C$5:C191,C191,$A$5:A191,A191))</f>
        <v/>
      </c>
      <c r="K191" t="str">
        <f>IF(A191="","",IF(J191=MAXIFS($J$5:$J$200,$A$5:$A$200,A191,$B$5:$B$200,B191),"Yes","No"))</f>
        <v/>
      </c>
    </row>
    <row r="192" spans="7:11">
      <c r="G192" t="str">
        <f t="shared" si="15"/>
        <v/>
      </c>
      <c r="H192" t="str">
        <f t="shared" si="16"/>
        <v/>
      </c>
      <c r="I192" t="str">
        <f t="shared" si="17"/>
        <v/>
      </c>
      <c r="J192" t="str">
        <f>IF(A192="","",SUMIFS($I$5:I192,$C$5:C192,C192,$A$5:A192,A192))</f>
        <v/>
      </c>
      <c r="K192" t="str">
        <f>IF(A192="","",IF(J192=MAXIFS($J$5:$J$200,$A$5:$A$200,A192,$B$5:$B$200,B192),"Yes","No"))</f>
        <v/>
      </c>
    </row>
    <row r="193" spans="7:11">
      <c r="G193" t="str">
        <f t="shared" si="15"/>
        <v/>
      </c>
      <c r="H193" t="str">
        <f t="shared" si="16"/>
        <v/>
      </c>
      <c r="I193" t="str">
        <f t="shared" si="17"/>
        <v/>
      </c>
      <c r="J193" t="str">
        <f>IF(A193="","",SUMIFS($I$5:I193,$C$5:C193,C193,$A$5:A193,A193))</f>
        <v/>
      </c>
      <c r="K193" t="str">
        <f>IF(A193="","",IF(J193=MAXIFS($J$5:$J$200,$A$5:$A$200,A193,$B$5:$B$200,B193),"Yes","No"))</f>
        <v/>
      </c>
    </row>
    <row r="194" spans="7:11">
      <c r="G194" t="str">
        <f t="shared" si="15"/>
        <v/>
      </c>
      <c r="H194" t="str">
        <f t="shared" si="16"/>
        <v/>
      </c>
      <c r="I194" t="str">
        <f t="shared" si="17"/>
        <v/>
      </c>
      <c r="J194" t="str">
        <f>IF(A194="","",SUMIFS($I$5:I194,$C$5:C194,C194,$A$5:A194,A194))</f>
        <v/>
      </c>
      <c r="K194" t="str">
        <f>IF(A194="","",IF(J194=MAXIFS($J$5:$J$200,$A$5:$A$200,A194,$B$5:$B$200,B194),"Yes","No"))</f>
        <v/>
      </c>
    </row>
    <row r="195" spans="7:11">
      <c r="G195" t="str">
        <f t="shared" si="15"/>
        <v/>
      </c>
      <c r="H195" t="str">
        <f t="shared" si="16"/>
        <v/>
      </c>
      <c r="I195" t="str">
        <f t="shared" si="17"/>
        <v/>
      </c>
      <c r="J195" t="str">
        <f>IF(A195="","",SUMIFS($I$5:I195,$C$5:C195,C195,$A$5:A195,A195))</f>
        <v/>
      </c>
      <c r="K195" t="str">
        <f>IF(A195="","",IF(J195=MAXIFS($J$5:$J$200,$A$5:$A$200,A195,$B$5:$B$200,B195),"Yes","No"))</f>
        <v/>
      </c>
    </row>
    <row r="196" spans="7:11">
      <c r="G196" t="str">
        <f t="shared" si="15"/>
        <v/>
      </c>
      <c r="H196" t="str">
        <f t="shared" si="16"/>
        <v/>
      </c>
      <c r="I196" t="str">
        <f t="shared" si="17"/>
        <v/>
      </c>
      <c r="J196" t="str">
        <f>IF(A196="","",SUMIFS($I$5:I196,$C$5:C196,C196,$A$5:A196,A196))</f>
        <v/>
      </c>
      <c r="K196" t="str">
        <f>IF(A196="","",IF(J196=MAXIFS($J$5:$J$200,$A$5:$A$200,A196,$B$5:$B$200,B196),"Yes","No"))</f>
        <v/>
      </c>
    </row>
    <row r="197" spans="7:11">
      <c r="G197" t="str">
        <f t="shared" ref="G197:G228" si="18">IF(A197="","",ABS(E197-F197))</f>
        <v/>
      </c>
      <c r="H197" t="str">
        <f t="shared" si="16"/>
        <v/>
      </c>
      <c r="I197" t="str">
        <f t="shared" ref="I197:I228" si="19">IF(A197="","",IF(H197="Yes",10+E197,-G197*1))</f>
        <v/>
      </c>
      <c r="J197" t="str">
        <f>IF(A197="","",SUMIFS($I$5:I197,$C$5:C197,C197,$A$5:A197,A197))</f>
        <v/>
      </c>
      <c r="K197" t="str">
        <f>IF(A197="","",IF(J197=MAXIFS($J$5:$J$200,$A$5:$A$200,A197,$B$5:$B$200,B197),"Yes","No"))</f>
        <v/>
      </c>
    </row>
    <row r="198" spans="7:11">
      <c r="G198" t="str">
        <f t="shared" si="18"/>
        <v/>
      </c>
      <c r="H198" t="str">
        <f t="shared" si="16"/>
        <v/>
      </c>
      <c r="I198" t="str">
        <f t="shared" si="19"/>
        <v/>
      </c>
      <c r="J198" t="str">
        <f>IF(A198="","",SUMIFS($I$5:I198,$C$5:C198,C198,$A$5:A198,A198))</f>
        <v/>
      </c>
      <c r="K198" t="str">
        <f>IF(A198="","",IF(J198=MAXIFS($J$5:$J$200,$A$5:$A$200,A198,$B$5:$B$200,B198),"Yes","No"))</f>
        <v/>
      </c>
    </row>
    <row r="199" spans="7:11">
      <c r="G199" t="str">
        <f t="shared" si="18"/>
        <v/>
      </c>
      <c r="H199" t="str">
        <f t="shared" si="16"/>
        <v/>
      </c>
      <c r="I199" t="str">
        <f t="shared" si="19"/>
        <v/>
      </c>
      <c r="J199" t="str">
        <f>IF(A199="","",SUMIFS($I$5:I199,$C$5:C199,C199,$A$5:A199,A199))</f>
        <v/>
      </c>
      <c r="K199" t="str">
        <f>IF(A199="","",IF(J199=MAXIFS($J$5:$J$200,$A$5:$A$200,A199,$B$5:$B$200,B199),"Yes","No"))</f>
        <v/>
      </c>
    </row>
    <row r="200" spans="7:11">
      <c r="G200" t="str">
        <f t="shared" si="18"/>
        <v/>
      </c>
      <c r="H200" t="str">
        <f t="shared" si="16"/>
        <v/>
      </c>
      <c r="I200" t="str">
        <f t="shared" si="19"/>
        <v/>
      </c>
      <c r="J200" t="str">
        <f>IF(A200="","",SUMIFS($I$5:I200,$C$5:C200,C200,$A$5:A200,A200))</f>
        <v/>
      </c>
      <c r="K200" t="str">
        <f>IF(A200="","",IF(J200=MAXIFS($J$5:$J$200,$A$5:$A$200,A200,$B$5:$B$200,B200),"Yes","No"))</f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sqref="A1:J1"/>
    </sheetView>
  </sheetViews>
  <sheetFormatPr defaultRowHeight="14.25"/>
  <cols>
    <col min="1" max="1" width="12.75" customWidth="1"/>
    <col min="2" max="2" width="5.25" customWidth="1"/>
    <col min="3" max="3" width="8.5" customWidth="1"/>
    <col min="4" max="4" width="8.25" customWidth="1"/>
    <col min="5" max="5" width="7.25" customWidth="1"/>
    <col min="6" max="6" width="7.5" customWidth="1"/>
    <col min="7" max="7" width="17.875" customWidth="1"/>
    <col min="8" max="8" width="11.5" customWidth="1"/>
    <col min="9" max="9" width="5.25" customWidth="1"/>
    <col min="10" max="10" width="12.75" customWidth="1"/>
    <col min="11" max="11" width="4.375" customWidth="1"/>
    <col min="12" max="12" width="11.625" customWidth="1"/>
    <col min="13" max="13" width="10.625" customWidth="1"/>
    <col min="14" max="14" width="14.75" customWidth="1"/>
  </cols>
  <sheetData>
    <row r="1" spans="1:26" ht="27.95" customHeight="1">
      <c r="A1" s="20" t="s">
        <v>619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620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4" t="s">
        <v>474</v>
      </c>
      <c r="B4" s="4" t="s">
        <v>621</v>
      </c>
      <c r="C4" s="4" t="s">
        <v>77</v>
      </c>
      <c r="D4" s="4" t="s">
        <v>327</v>
      </c>
      <c r="E4" s="4" t="s">
        <v>588</v>
      </c>
      <c r="F4" s="4" t="s">
        <v>622</v>
      </c>
      <c r="G4" s="4" t="s">
        <v>623</v>
      </c>
      <c r="H4" s="4" t="s">
        <v>624</v>
      </c>
      <c r="I4" s="4" t="s">
        <v>490</v>
      </c>
      <c r="J4" s="4" t="s">
        <v>625</v>
      </c>
      <c r="K4" s="4" t="s">
        <v>600</v>
      </c>
      <c r="L4" s="4" t="s">
        <v>159</v>
      </c>
      <c r="M4" s="4" t="s">
        <v>314</v>
      </c>
      <c r="N4" s="4" t="s">
        <v>84</v>
      </c>
    </row>
    <row r="5" spans="1:26" ht="28.5">
      <c r="A5" s="3" t="s">
        <v>626</v>
      </c>
      <c r="B5" s="3" t="s">
        <v>627</v>
      </c>
      <c r="C5" s="3" t="s">
        <v>86</v>
      </c>
      <c r="D5" s="3" t="s">
        <v>247</v>
      </c>
      <c r="E5" s="3" t="s">
        <v>603</v>
      </c>
      <c r="F5" s="3" t="s">
        <v>242</v>
      </c>
      <c r="G5" s="3" t="s">
        <v>243</v>
      </c>
      <c r="H5" s="3">
        <v>3</v>
      </c>
      <c r="I5" s="3">
        <v>25</v>
      </c>
      <c r="J5" s="3">
        <v>60</v>
      </c>
      <c r="K5" s="3">
        <f t="shared" ref="K5:K36" si="0">IF(A5="","",RANK(I5,$I$5:$I$200,0))</f>
        <v>4</v>
      </c>
      <c r="L5" s="3" t="s">
        <v>168</v>
      </c>
      <c r="M5" s="3">
        <v>46194</v>
      </c>
      <c r="N5" s="3" t="s">
        <v>258</v>
      </c>
    </row>
    <row r="6" spans="1:26" ht="28.5">
      <c r="A6" s="3" t="s">
        <v>628</v>
      </c>
      <c r="B6" s="3" t="s">
        <v>627</v>
      </c>
      <c r="C6" s="3" t="s">
        <v>114</v>
      </c>
      <c r="D6" s="3" t="s">
        <v>247</v>
      </c>
      <c r="E6" s="3" t="s">
        <v>603</v>
      </c>
      <c r="F6" s="3" t="s">
        <v>259</v>
      </c>
      <c r="G6" s="3" t="s">
        <v>260</v>
      </c>
      <c r="H6" s="3">
        <v>4</v>
      </c>
      <c r="I6" s="3">
        <v>30</v>
      </c>
      <c r="J6" s="3">
        <v>60</v>
      </c>
      <c r="K6" s="3">
        <f t="shared" si="0"/>
        <v>3</v>
      </c>
      <c r="L6" s="3" t="s">
        <v>168</v>
      </c>
      <c r="M6" s="3">
        <v>46194</v>
      </c>
      <c r="N6" s="3" t="s">
        <v>258</v>
      </c>
    </row>
    <row r="7" spans="1:26" ht="28.5">
      <c r="A7" s="3" t="s">
        <v>629</v>
      </c>
      <c r="B7" s="3" t="s">
        <v>327</v>
      </c>
      <c r="C7" s="3" t="s">
        <v>630</v>
      </c>
      <c r="D7" s="3" t="s">
        <v>247</v>
      </c>
      <c r="E7" s="3" t="s">
        <v>603</v>
      </c>
      <c r="F7" s="3" t="s">
        <v>631</v>
      </c>
      <c r="G7" s="3" t="s">
        <v>247</v>
      </c>
      <c r="H7" s="3">
        <v>12</v>
      </c>
      <c r="I7" s="3">
        <v>120</v>
      </c>
      <c r="J7" s="3"/>
      <c r="K7" s="3">
        <f t="shared" si="0"/>
        <v>1</v>
      </c>
      <c r="L7" s="3" t="s">
        <v>168</v>
      </c>
      <c r="M7" s="3">
        <v>46194</v>
      </c>
      <c r="N7" s="3" t="s">
        <v>632</v>
      </c>
    </row>
    <row r="8" spans="1:26" ht="28.5">
      <c r="A8" s="3" t="s">
        <v>633</v>
      </c>
      <c r="B8" s="3" t="s">
        <v>634</v>
      </c>
      <c r="C8" s="3" t="s">
        <v>630</v>
      </c>
      <c r="D8" s="3" t="s">
        <v>247</v>
      </c>
      <c r="E8" s="3" t="s">
        <v>603</v>
      </c>
      <c r="F8" s="3" t="s">
        <v>343</v>
      </c>
      <c r="G8" s="3" t="s">
        <v>344</v>
      </c>
      <c r="H8" s="3">
        <v>8</v>
      </c>
      <c r="I8" s="3">
        <v>80</v>
      </c>
      <c r="J8" s="3"/>
      <c r="K8" s="3">
        <f t="shared" si="0"/>
        <v>2</v>
      </c>
      <c r="L8" s="3" t="s">
        <v>195</v>
      </c>
      <c r="M8" s="3">
        <v>46194</v>
      </c>
      <c r="N8" s="3" t="s">
        <v>635</v>
      </c>
    </row>
    <row r="9" spans="1:26">
      <c r="K9" t="str">
        <f t="shared" si="0"/>
        <v/>
      </c>
    </row>
    <row r="10" spans="1:26">
      <c r="K10" t="str">
        <f t="shared" si="0"/>
        <v/>
      </c>
    </row>
    <row r="11" spans="1:26">
      <c r="K11" t="str">
        <f t="shared" si="0"/>
        <v/>
      </c>
    </row>
    <row r="12" spans="1:26">
      <c r="K12" t="str">
        <f t="shared" si="0"/>
        <v/>
      </c>
    </row>
    <row r="13" spans="1:26">
      <c r="K13" t="str">
        <f t="shared" si="0"/>
        <v/>
      </c>
    </row>
    <row r="14" spans="1:26">
      <c r="K14" t="str">
        <f t="shared" si="0"/>
        <v/>
      </c>
    </row>
    <row r="15" spans="1:26">
      <c r="K15" t="str">
        <f t="shared" si="0"/>
        <v/>
      </c>
    </row>
    <row r="16" spans="1:26">
      <c r="K16" t="str">
        <f t="shared" si="0"/>
        <v/>
      </c>
    </row>
    <row r="17" spans="11:11">
      <c r="K17" t="str">
        <f t="shared" si="0"/>
        <v/>
      </c>
    </row>
    <row r="18" spans="11:11">
      <c r="K18" t="str">
        <f t="shared" si="0"/>
        <v/>
      </c>
    </row>
    <row r="19" spans="11:11">
      <c r="K19" t="str">
        <f t="shared" si="0"/>
        <v/>
      </c>
    </row>
    <row r="20" spans="11:11">
      <c r="K20" t="str">
        <f t="shared" si="0"/>
        <v/>
      </c>
    </row>
    <row r="21" spans="11:11">
      <c r="K21" t="str">
        <f t="shared" si="0"/>
        <v/>
      </c>
    </row>
    <row r="22" spans="11:11">
      <c r="K22" t="str">
        <f t="shared" si="0"/>
        <v/>
      </c>
    </row>
    <row r="23" spans="11:11">
      <c r="K23" t="str">
        <f t="shared" si="0"/>
        <v/>
      </c>
    </row>
    <row r="24" spans="11:11">
      <c r="K24" t="str">
        <f t="shared" si="0"/>
        <v/>
      </c>
    </row>
    <row r="25" spans="11:11">
      <c r="K25" t="str">
        <f t="shared" si="0"/>
        <v/>
      </c>
    </row>
    <row r="26" spans="11:11">
      <c r="K26" t="str">
        <f t="shared" si="0"/>
        <v/>
      </c>
    </row>
    <row r="27" spans="11:11">
      <c r="K27" t="str">
        <f t="shared" si="0"/>
        <v/>
      </c>
    </row>
    <row r="28" spans="11:11">
      <c r="K28" t="str">
        <f t="shared" si="0"/>
        <v/>
      </c>
    </row>
    <row r="29" spans="11:11">
      <c r="K29" t="str">
        <f t="shared" si="0"/>
        <v/>
      </c>
    </row>
    <row r="30" spans="11:11">
      <c r="K30" t="str">
        <f t="shared" si="0"/>
        <v/>
      </c>
    </row>
    <row r="31" spans="11:11">
      <c r="K31" t="str">
        <f t="shared" si="0"/>
        <v/>
      </c>
    </row>
    <row r="32" spans="11:11">
      <c r="K32" t="str">
        <f t="shared" si="0"/>
        <v/>
      </c>
    </row>
    <row r="33" spans="11:11">
      <c r="K33" t="str">
        <f t="shared" si="0"/>
        <v/>
      </c>
    </row>
    <row r="34" spans="11:11">
      <c r="K34" t="str">
        <f t="shared" si="0"/>
        <v/>
      </c>
    </row>
    <row r="35" spans="11:11">
      <c r="K35" t="str">
        <f t="shared" si="0"/>
        <v/>
      </c>
    </row>
    <row r="36" spans="11:11">
      <c r="K36" t="str">
        <f t="shared" si="0"/>
        <v/>
      </c>
    </row>
    <row r="37" spans="11:11">
      <c r="K37" t="str">
        <f t="shared" ref="K37:K68" si="1">IF(A37="","",RANK(I37,$I$5:$I$200,0))</f>
        <v/>
      </c>
    </row>
    <row r="38" spans="11:11">
      <c r="K38" t="str">
        <f t="shared" si="1"/>
        <v/>
      </c>
    </row>
    <row r="39" spans="11:11">
      <c r="K39" t="str">
        <f t="shared" si="1"/>
        <v/>
      </c>
    </row>
    <row r="40" spans="11:11">
      <c r="K40" t="str">
        <f t="shared" si="1"/>
        <v/>
      </c>
    </row>
    <row r="41" spans="11:11">
      <c r="K41" t="str">
        <f t="shared" si="1"/>
        <v/>
      </c>
    </row>
    <row r="42" spans="11:11">
      <c r="K42" t="str">
        <f t="shared" si="1"/>
        <v/>
      </c>
    </row>
    <row r="43" spans="11:11">
      <c r="K43" t="str">
        <f t="shared" si="1"/>
        <v/>
      </c>
    </row>
    <row r="44" spans="11:11">
      <c r="K44" t="str">
        <f t="shared" si="1"/>
        <v/>
      </c>
    </row>
    <row r="45" spans="11:11">
      <c r="K45" t="str">
        <f t="shared" si="1"/>
        <v/>
      </c>
    </row>
    <row r="46" spans="11:11">
      <c r="K46" t="str">
        <f t="shared" si="1"/>
        <v/>
      </c>
    </row>
    <row r="47" spans="11:11">
      <c r="K47" t="str">
        <f t="shared" si="1"/>
        <v/>
      </c>
    </row>
    <row r="48" spans="11:11">
      <c r="K48" t="str">
        <f t="shared" si="1"/>
        <v/>
      </c>
    </row>
    <row r="49" spans="11:11">
      <c r="K49" t="str">
        <f t="shared" si="1"/>
        <v/>
      </c>
    </row>
    <row r="50" spans="11:11">
      <c r="K50" t="str">
        <f t="shared" si="1"/>
        <v/>
      </c>
    </row>
    <row r="51" spans="11:11">
      <c r="K51" t="str">
        <f t="shared" si="1"/>
        <v/>
      </c>
    </row>
    <row r="52" spans="11:11">
      <c r="K52" t="str">
        <f t="shared" si="1"/>
        <v/>
      </c>
    </row>
    <row r="53" spans="11:11">
      <c r="K53" t="str">
        <f t="shared" si="1"/>
        <v/>
      </c>
    </row>
    <row r="54" spans="11:11">
      <c r="K54" t="str">
        <f t="shared" si="1"/>
        <v/>
      </c>
    </row>
    <row r="55" spans="11:11">
      <c r="K55" t="str">
        <f t="shared" si="1"/>
        <v/>
      </c>
    </row>
    <row r="56" spans="11:11">
      <c r="K56" t="str">
        <f t="shared" si="1"/>
        <v/>
      </c>
    </row>
    <row r="57" spans="11:11">
      <c r="K57" t="str">
        <f t="shared" si="1"/>
        <v/>
      </c>
    </row>
    <row r="58" spans="11:11">
      <c r="K58" t="str">
        <f t="shared" si="1"/>
        <v/>
      </c>
    </row>
    <row r="59" spans="11:11">
      <c r="K59" t="str">
        <f t="shared" si="1"/>
        <v/>
      </c>
    </row>
    <row r="60" spans="11:11">
      <c r="K60" t="str">
        <f t="shared" si="1"/>
        <v/>
      </c>
    </row>
    <row r="61" spans="11:11">
      <c r="K61" t="str">
        <f t="shared" si="1"/>
        <v/>
      </c>
    </row>
    <row r="62" spans="11:11">
      <c r="K62" t="str">
        <f t="shared" si="1"/>
        <v/>
      </c>
    </row>
    <row r="63" spans="11:11">
      <c r="K63" t="str">
        <f t="shared" si="1"/>
        <v/>
      </c>
    </row>
    <row r="64" spans="11:11">
      <c r="K64" t="str">
        <f t="shared" si="1"/>
        <v/>
      </c>
    </row>
    <row r="65" spans="11:11">
      <c r="K65" t="str">
        <f t="shared" si="1"/>
        <v/>
      </c>
    </row>
    <row r="66" spans="11:11">
      <c r="K66" t="str">
        <f t="shared" si="1"/>
        <v/>
      </c>
    </row>
    <row r="67" spans="11:11">
      <c r="K67" t="str">
        <f t="shared" si="1"/>
        <v/>
      </c>
    </row>
    <row r="68" spans="11:11">
      <c r="K68" t="str">
        <f t="shared" si="1"/>
        <v/>
      </c>
    </row>
    <row r="69" spans="11:11">
      <c r="K69" t="str">
        <f t="shared" ref="K69:K100" si="2">IF(A69="","",RANK(I69,$I$5:$I$200,0))</f>
        <v/>
      </c>
    </row>
    <row r="70" spans="11:11">
      <c r="K70" t="str">
        <f t="shared" si="2"/>
        <v/>
      </c>
    </row>
    <row r="71" spans="11:11">
      <c r="K71" t="str">
        <f t="shared" si="2"/>
        <v/>
      </c>
    </row>
    <row r="72" spans="11:11">
      <c r="K72" t="str">
        <f t="shared" si="2"/>
        <v/>
      </c>
    </row>
    <row r="73" spans="11:11">
      <c r="K73" t="str">
        <f t="shared" si="2"/>
        <v/>
      </c>
    </row>
    <row r="74" spans="11:11">
      <c r="K74" t="str">
        <f t="shared" si="2"/>
        <v/>
      </c>
    </row>
    <row r="75" spans="11:11">
      <c r="K75" t="str">
        <f t="shared" si="2"/>
        <v/>
      </c>
    </row>
    <row r="76" spans="11:11">
      <c r="K76" t="str">
        <f t="shared" si="2"/>
        <v/>
      </c>
    </row>
    <row r="77" spans="11:11">
      <c r="K77" t="str">
        <f t="shared" si="2"/>
        <v/>
      </c>
    </row>
    <row r="78" spans="11:11">
      <c r="K78" t="str">
        <f t="shared" si="2"/>
        <v/>
      </c>
    </row>
    <row r="79" spans="11:11">
      <c r="K79" t="str">
        <f t="shared" si="2"/>
        <v/>
      </c>
    </row>
    <row r="80" spans="11:11">
      <c r="K80" t="str">
        <f t="shared" si="2"/>
        <v/>
      </c>
    </row>
    <row r="81" spans="11:11">
      <c r="K81" t="str">
        <f t="shared" si="2"/>
        <v/>
      </c>
    </row>
    <row r="82" spans="11:11">
      <c r="K82" t="str">
        <f t="shared" si="2"/>
        <v/>
      </c>
    </row>
    <row r="83" spans="11:11">
      <c r="K83" t="str">
        <f t="shared" si="2"/>
        <v/>
      </c>
    </row>
    <row r="84" spans="11:11">
      <c r="K84" t="str">
        <f t="shared" si="2"/>
        <v/>
      </c>
    </row>
    <row r="85" spans="11:11">
      <c r="K85" t="str">
        <f t="shared" si="2"/>
        <v/>
      </c>
    </row>
    <row r="86" spans="11:11">
      <c r="K86" t="str">
        <f t="shared" si="2"/>
        <v/>
      </c>
    </row>
    <row r="87" spans="11:11">
      <c r="K87" t="str">
        <f t="shared" si="2"/>
        <v/>
      </c>
    </row>
    <row r="88" spans="11:11">
      <c r="K88" t="str">
        <f t="shared" si="2"/>
        <v/>
      </c>
    </row>
    <row r="89" spans="11:11">
      <c r="K89" t="str">
        <f t="shared" si="2"/>
        <v/>
      </c>
    </row>
    <row r="90" spans="11:11">
      <c r="K90" t="str">
        <f t="shared" si="2"/>
        <v/>
      </c>
    </row>
    <row r="91" spans="11:11">
      <c r="K91" t="str">
        <f t="shared" si="2"/>
        <v/>
      </c>
    </row>
    <row r="92" spans="11:11">
      <c r="K92" t="str">
        <f t="shared" si="2"/>
        <v/>
      </c>
    </row>
    <row r="93" spans="11:11">
      <c r="K93" t="str">
        <f t="shared" si="2"/>
        <v/>
      </c>
    </row>
    <row r="94" spans="11:11">
      <c r="K94" t="str">
        <f t="shared" si="2"/>
        <v/>
      </c>
    </row>
    <row r="95" spans="11:11">
      <c r="K95" t="str">
        <f t="shared" si="2"/>
        <v/>
      </c>
    </row>
    <row r="96" spans="11:11">
      <c r="K96" t="str">
        <f t="shared" si="2"/>
        <v/>
      </c>
    </row>
    <row r="97" spans="11:11">
      <c r="K97" t="str">
        <f t="shared" si="2"/>
        <v/>
      </c>
    </row>
    <row r="98" spans="11:11">
      <c r="K98" t="str">
        <f t="shared" si="2"/>
        <v/>
      </c>
    </row>
    <row r="99" spans="11:11">
      <c r="K99" t="str">
        <f t="shared" si="2"/>
        <v/>
      </c>
    </row>
    <row r="100" spans="11:11">
      <c r="K100" t="str">
        <f t="shared" si="2"/>
        <v/>
      </c>
    </row>
    <row r="101" spans="11:11">
      <c r="K101" t="str">
        <f t="shared" ref="K101:K132" si="3">IF(A101="","",RANK(I101,$I$5:$I$200,0))</f>
        <v/>
      </c>
    </row>
    <row r="102" spans="11:11">
      <c r="K102" t="str">
        <f t="shared" si="3"/>
        <v/>
      </c>
    </row>
    <row r="103" spans="11:11">
      <c r="K103" t="str">
        <f t="shared" si="3"/>
        <v/>
      </c>
    </row>
    <row r="104" spans="11:11">
      <c r="K104" t="str">
        <f t="shared" si="3"/>
        <v/>
      </c>
    </row>
    <row r="105" spans="11:11">
      <c r="K105" t="str">
        <f t="shared" si="3"/>
        <v/>
      </c>
    </row>
    <row r="106" spans="11:11">
      <c r="K106" t="str">
        <f t="shared" si="3"/>
        <v/>
      </c>
    </row>
    <row r="107" spans="11:11">
      <c r="K107" t="str">
        <f t="shared" si="3"/>
        <v/>
      </c>
    </row>
    <row r="108" spans="11:11">
      <c r="K108" t="str">
        <f t="shared" si="3"/>
        <v/>
      </c>
    </row>
    <row r="109" spans="11:11">
      <c r="K109" t="str">
        <f t="shared" si="3"/>
        <v/>
      </c>
    </row>
    <row r="110" spans="11:11">
      <c r="K110" t="str">
        <f t="shared" si="3"/>
        <v/>
      </c>
    </row>
    <row r="111" spans="11:11">
      <c r="K111" t="str">
        <f t="shared" si="3"/>
        <v/>
      </c>
    </row>
    <row r="112" spans="11:11">
      <c r="K112" t="str">
        <f t="shared" si="3"/>
        <v/>
      </c>
    </row>
    <row r="113" spans="11:11">
      <c r="K113" t="str">
        <f t="shared" si="3"/>
        <v/>
      </c>
    </row>
    <row r="114" spans="11:11">
      <c r="K114" t="str">
        <f t="shared" si="3"/>
        <v/>
      </c>
    </row>
    <row r="115" spans="11:11">
      <c r="K115" t="str">
        <f t="shared" si="3"/>
        <v/>
      </c>
    </row>
    <row r="116" spans="11:11">
      <c r="K116" t="str">
        <f t="shared" si="3"/>
        <v/>
      </c>
    </row>
    <row r="117" spans="11:11">
      <c r="K117" t="str">
        <f t="shared" si="3"/>
        <v/>
      </c>
    </row>
    <row r="118" spans="11:11">
      <c r="K118" t="str">
        <f t="shared" si="3"/>
        <v/>
      </c>
    </row>
    <row r="119" spans="11:11">
      <c r="K119" t="str">
        <f t="shared" si="3"/>
        <v/>
      </c>
    </row>
    <row r="120" spans="11:11">
      <c r="K120" t="str">
        <f t="shared" si="3"/>
        <v/>
      </c>
    </row>
    <row r="121" spans="11:11">
      <c r="K121" t="str">
        <f t="shared" si="3"/>
        <v/>
      </c>
    </row>
    <row r="122" spans="11:11">
      <c r="K122" t="str">
        <f t="shared" si="3"/>
        <v/>
      </c>
    </row>
    <row r="123" spans="11:11">
      <c r="K123" t="str">
        <f t="shared" si="3"/>
        <v/>
      </c>
    </row>
    <row r="124" spans="11:11">
      <c r="K124" t="str">
        <f t="shared" si="3"/>
        <v/>
      </c>
    </row>
    <row r="125" spans="11:11">
      <c r="K125" t="str">
        <f t="shared" si="3"/>
        <v/>
      </c>
    </row>
    <row r="126" spans="11:11">
      <c r="K126" t="str">
        <f t="shared" si="3"/>
        <v/>
      </c>
    </row>
    <row r="127" spans="11:11">
      <c r="K127" t="str">
        <f t="shared" si="3"/>
        <v/>
      </c>
    </row>
    <row r="128" spans="11:11">
      <c r="K128" t="str">
        <f t="shared" si="3"/>
        <v/>
      </c>
    </row>
    <row r="129" spans="11:11">
      <c r="K129" t="str">
        <f t="shared" si="3"/>
        <v/>
      </c>
    </row>
    <row r="130" spans="11:11">
      <c r="K130" t="str">
        <f t="shared" si="3"/>
        <v/>
      </c>
    </row>
    <row r="131" spans="11:11">
      <c r="K131" t="str">
        <f t="shared" si="3"/>
        <v/>
      </c>
    </row>
    <row r="132" spans="11:11">
      <c r="K132" t="str">
        <f t="shared" si="3"/>
        <v/>
      </c>
    </row>
    <row r="133" spans="11:11">
      <c r="K133" t="str">
        <f t="shared" ref="K133:K164" si="4">IF(A133="","",RANK(I133,$I$5:$I$200,0))</f>
        <v/>
      </c>
    </row>
    <row r="134" spans="11:11">
      <c r="K134" t="str">
        <f t="shared" si="4"/>
        <v/>
      </c>
    </row>
    <row r="135" spans="11:11">
      <c r="K135" t="str">
        <f t="shared" si="4"/>
        <v/>
      </c>
    </row>
    <row r="136" spans="11:11">
      <c r="K136" t="str">
        <f t="shared" si="4"/>
        <v/>
      </c>
    </row>
    <row r="137" spans="11:11">
      <c r="K137" t="str">
        <f t="shared" si="4"/>
        <v/>
      </c>
    </row>
    <row r="138" spans="11:11">
      <c r="K138" t="str">
        <f t="shared" si="4"/>
        <v/>
      </c>
    </row>
    <row r="139" spans="11:11">
      <c r="K139" t="str">
        <f t="shared" si="4"/>
        <v/>
      </c>
    </row>
    <row r="140" spans="11:11">
      <c r="K140" t="str">
        <f t="shared" si="4"/>
        <v/>
      </c>
    </row>
    <row r="141" spans="11:11">
      <c r="K141" t="str">
        <f t="shared" si="4"/>
        <v/>
      </c>
    </row>
    <row r="142" spans="11:11">
      <c r="K142" t="str">
        <f t="shared" si="4"/>
        <v/>
      </c>
    </row>
    <row r="143" spans="11:11">
      <c r="K143" t="str">
        <f t="shared" si="4"/>
        <v/>
      </c>
    </row>
    <row r="144" spans="11:11">
      <c r="K144" t="str">
        <f t="shared" si="4"/>
        <v/>
      </c>
    </row>
    <row r="145" spans="11:11">
      <c r="K145" t="str">
        <f t="shared" si="4"/>
        <v/>
      </c>
    </row>
    <row r="146" spans="11:11">
      <c r="K146" t="str">
        <f t="shared" si="4"/>
        <v/>
      </c>
    </row>
    <row r="147" spans="11:11">
      <c r="K147" t="str">
        <f t="shared" si="4"/>
        <v/>
      </c>
    </row>
    <row r="148" spans="11:11">
      <c r="K148" t="str">
        <f t="shared" si="4"/>
        <v/>
      </c>
    </row>
    <row r="149" spans="11:11">
      <c r="K149" t="str">
        <f t="shared" si="4"/>
        <v/>
      </c>
    </row>
    <row r="150" spans="11:11">
      <c r="K150" t="str">
        <f t="shared" si="4"/>
        <v/>
      </c>
    </row>
    <row r="151" spans="11:11">
      <c r="K151" t="str">
        <f t="shared" si="4"/>
        <v/>
      </c>
    </row>
    <row r="152" spans="11:11">
      <c r="K152" t="str">
        <f t="shared" si="4"/>
        <v/>
      </c>
    </row>
    <row r="153" spans="11:11">
      <c r="K153" t="str">
        <f t="shared" si="4"/>
        <v/>
      </c>
    </row>
    <row r="154" spans="11:11">
      <c r="K154" t="str">
        <f t="shared" si="4"/>
        <v/>
      </c>
    </row>
    <row r="155" spans="11:11">
      <c r="K155" t="str">
        <f t="shared" si="4"/>
        <v/>
      </c>
    </row>
    <row r="156" spans="11:11">
      <c r="K156" t="str">
        <f t="shared" si="4"/>
        <v/>
      </c>
    </row>
    <row r="157" spans="11:11">
      <c r="K157" t="str">
        <f t="shared" si="4"/>
        <v/>
      </c>
    </row>
    <row r="158" spans="11:11">
      <c r="K158" t="str">
        <f t="shared" si="4"/>
        <v/>
      </c>
    </row>
    <row r="159" spans="11:11">
      <c r="K159" t="str">
        <f t="shared" si="4"/>
        <v/>
      </c>
    </row>
    <row r="160" spans="11:11">
      <c r="K160" t="str">
        <f t="shared" si="4"/>
        <v/>
      </c>
    </row>
    <row r="161" spans="11:11">
      <c r="K161" t="str">
        <f t="shared" si="4"/>
        <v/>
      </c>
    </row>
    <row r="162" spans="11:11">
      <c r="K162" t="str">
        <f t="shared" si="4"/>
        <v/>
      </c>
    </row>
    <row r="163" spans="11:11">
      <c r="K163" t="str">
        <f t="shared" si="4"/>
        <v/>
      </c>
    </row>
    <row r="164" spans="11:11">
      <c r="K164" t="str">
        <f t="shared" si="4"/>
        <v/>
      </c>
    </row>
    <row r="165" spans="11:11">
      <c r="K165" t="str">
        <f t="shared" ref="K165:K200" si="5">IF(A165="","",RANK(I165,$I$5:$I$200,0))</f>
        <v/>
      </c>
    </row>
    <row r="166" spans="11:11">
      <c r="K166" t="str">
        <f t="shared" si="5"/>
        <v/>
      </c>
    </row>
    <row r="167" spans="11:11">
      <c r="K167" t="str">
        <f t="shared" si="5"/>
        <v/>
      </c>
    </row>
    <row r="168" spans="11:11">
      <c r="K168" t="str">
        <f t="shared" si="5"/>
        <v/>
      </c>
    </row>
    <row r="169" spans="11:11">
      <c r="K169" t="str">
        <f t="shared" si="5"/>
        <v/>
      </c>
    </row>
    <row r="170" spans="11:11">
      <c r="K170" t="str">
        <f t="shared" si="5"/>
        <v/>
      </c>
    </row>
    <row r="171" spans="11:11">
      <c r="K171" t="str">
        <f t="shared" si="5"/>
        <v/>
      </c>
    </row>
    <row r="172" spans="11:11">
      <c r="K172" t="str">
        <f t="shared" si="5"/>
        <v/>
      </c>
    </row>
    <row r="173" spans="11:11">
      <c r="K173" t="str">
        <f t="shared" si="5"/>
        <v/>
      </c>
    </row>
    <row r="174" spans="11:11">
      <c r="K174" t="str">
        <f t="shared" si="5"/>
        <v/>
      </c>
    </row>
    <row r="175" spans="11:11">
      <c r="K175" t="str">
        <f t="shared" si="5"/>
        <v/>
      </c>
    </row>
    <row r="176" spans="11:11">
      <c r="K176" t="str">
        <f t="shared" si="5"/>
        <v/>
      </c>
    </row>
    <row r="177" spans="11:11">
      <c r="K177" t="str">
        <f t="shared" si="5"/>
        <v/>
      </c>
    </row>
    <row r="178" spans="11:11">
      <c r="K178" t="str">
        <f t="shared" si="5"/>
        <v/>
      </c>
    </row>
    <row r="179" spans="11:11">
      <c r="K179" t="str">
        <f t="shared" si="5"/>
        <v/>
      </c>
    </row>
    <row r="180" spans="11:11">
      <c r="K180" t="str">
        <f t="shared" si="5"/>
        <v/>
      </c>
    </row>
    <row r="181" spans="11:11">
      <c r="K181" t="str">
        <f t="shared" si="5"/>
        <v/>
      </c>
    </row>
    <row r="182" spans="11:11">
      <c r="K182" t="str">
        <f t="shared" si="5"/>
        <v/>
      </c>
    </row>
    <row r="183" spans="11:11">
      <c r="K183" t="str">
        <f t="shared" si="5"/>
        <v/>
      </c>
    </row>
    <row r="184" spans="11:11">
      <c r="K184" t="str">
        <f t="shared" si="5"/>
        <v/>
      </c>
    </row>
    <row r="185" spans="11:11">
      <c r="K185" t="str">
        <f t="shared" si="5"/>
        <v/>
      </c>
    </row>
    <row r="186" spans="11:11">
      <c r="K186" t="str">
        <f t="shared" si="5"/>
        <v/>
      </c>
    </row>
    <row r="187" spans="11:11">
      <c r="K187" t="str">
        <f t="shared" si="5"/>
        <v/>
      </c>
    </row>
    <row r="188" spans="11:11">
      <c r="K188" t="str">
        <f t="shared" si="5"/>
        <v/>
      </c>
    </row>
    <row r="189" spans="11:11">
      <c r="K189" t="str">
        <f t="shared" si="5"/>
        <v/>
      </c>
    </row>
    <row r="190" spans="11:11">
      <c r="K190" t="str">
        <f t="shared" si="5"/>
        <v/>
      </c>
    </row>
    <row r="191" spans="11:11">
      <c r="K191" t="str">
        <f t="shared" si="5"/>
        <v/>
      </c>
    </row>
    <row r="192" spans="11:11">
      <c r="K192" t="str">
        <f t="shared" si="5"/>
        <v/>
      </c>
    </row>
    <row r="193" spans="11:11">
      <c r="K193" t="str">
        <f t="shared" si="5"/>
        <v/>
      </c>
    </row>
    <row r="194" spans="11:11">
      <c r="K194" t="str">
        <f t="shared" si="5"/>
        <v/>
      </c>
    </row>
    <row r="195" spans="11:11">
      <c r="K195" t="str">
        <f t="shared" si="5"/>
        <v/>
      </c>
    </row>
    <row r="196" spans="11:11">
      <c r="K196" t="str">
        <f t="shared" si="5"/>
        <v/>
      </c>
    </row>
    <row r="197" spans="11:11">
      <c r="K197" t="str">
        <f t="shared" si="5"/>
        <v/>
      </c>
    </row>
    <row r="198" spans="11:11">
      <c r="K198" t="str">
        <f t="shared" si="5"/>
        <v/>
      </c>
    </row>
    <row r="199" spans="11:11">
      <c r="K199" t="str">
        <f t="shared" si="5"/>
        <v/>
      </c>
    </row>
    <row r="200" spans="11:11">
      <c r="K200" t="str">
        <f t="shared" si="5"/>
        <v/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workbookViewId="0">
      <selection sqref="A1:J1"/>
    </sheetView>
  </sheetViews>
  <sheetFormatPr defaultRowHeight="14.25"/>
  <cols>
    <col min="1" max="1" width="7.875" customWidth="1"/>
    <col min="2" max="2" width="19.375" customWidth="1"/>
    <col min="3" max="3" width="10.25" customWidth="1"/>
    <col min="4" max="4" width="7.25" customWidth="1"/>
    <col min="5" max="5" width="15.75" customWidth="1"/>
    <col min="6" max="6" width="15.125" customWidth="1"/>
    <col min="7" max="7" width="11.5" customWidth="1"/>
    <col min="8" max="8" width="9.75" customWidth="1"/>
    <col min="9" max="9" width="20.375" customWidth="1"/>
    <col min="10" max="10" width="9.625" customWidth="1"/>
    <col min="11" max="11" width="17.125" customWidth="1"/>
    <col min="12" max="12" width="13.375" customWidth="1"/>
    <col min="13" max="13" width="11.125" customWidth="1"/>
    <col min="14" max="14" width="15.125" customWidth="1"/>
    <col min="15" max="15" width="6" customWidth="1"/>
  </cols>
  <sheetData>
    <row r="1" spans="1:26" ht="27.95" customHeight="1">
      <c r="A1" s="20" t="s">
        <v>636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637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5" t="s">
        <v>325</v>
      </c>
      <c r="B4" s="5" t="s">
        <v>326</v>
      </c>
      <c r="C4" s="5" t="s">
        <v>327</v>
      </c>
      <c r="D4" s="5" t="s">
        <v>588</v>
      </c>
      <c r="E4" s="5" t="s">
        <v>158</v>
      </c>
      <c r="F4" s="5" t="s">
        <v>339</v>
      </c>
      <c r="G4" s="5" t="s">
        <v>638</v>
      </c>
      <c r="H4" s="5" t="s">
        <v>639</v>
      </c>
      <c r="I4" s="5" t="s">
        <v>640</v>
      </c>
      <c r="J4" s="5" t="s">
        <v>641</v>
      </c>
      <c r="K4" s="5" t="s">
        <v>642</v>
      </c>
      <c r="L4" s="5" t="s">
        <v>643</v>
      </c>
      <c r="M4" s="5" t="s">
        <v>644</v>
      </c>
      <c r="N4" s="5" t="s">
        <v>645</v>
      </c>
      <c r="O4" s="5" t="s">
        <v>84</v>
      </c>
    </row>
    <row r="5" spans="1:26" ht="28.5">
      <c r="A5" s="3" t="s">
        <v>343</v>
      </c>
      <c r="B5" s="3" t="s">
        <v>344</v>
      </c>
      <c r="C5" s="3" t="s">
        <v>247</v>
      </c>
      <c r="D5" s="3" t="s">
        <v>603</v>
      </c>
      <c r="E5" s="3" t="s">
        <v>167</v>
      </c>
      <c r="F5" s="3" t="s">
        <v>170</v>
      </c>
      <c r="G5" s="3">
        <v>8</v>
      </c>
      <c r="H5" s="3">
        <v>32</v>
      </c>
      <c r="I5" s="3">
        <v>2400</v>
      </c>
      <c r="J5" s="3">
        <v>10</v>
      </c>
      <c r="K5" s="3">
        <v>4.7</v>
      </c>
      <c r="L5" s="3">
        <v>0</v>
      </c>
      <c r="M5" s="3">
        <v>46224</v>
      </c>
      <c r="N5" s="3" t="s">
        <v>646</v>
      </c>
      <c r="O5" s="3" t="s">
        <v>258</v>
      </c>
    </row>
    <row r="6" spans="1:26" ht="28.5">
      <c r="A6" s="3" t="s">
        <v>368</v>
      </c>
      <c r="B6" s="3" t="s">
        <v>369</v>
      </c>
      <c r="C6" s="3" t="s">
        <v>296</v>
      </c>
      <c r="D6" s="3" t="s">
        <v>603</v>
      </c>
      <c r="E6" s="3" t="s">
        <v>185</v>
      </c>
      <c r="F6" s="3" t="s">
        <v>170</v>
      </c>
      <c r="G6" s="3">
        <v>4</v>
      </c>
      <c r="H6" s="3">
        <v>16</v>
      </c>
      <c r="I6" s="3">
        <v>3200</v>
      </c>
      <c r="J6" s="3">
        <v>6</v>
      </c>
      <c r="K6" s="3">
        <v>4.5</v>
      </c>
      <c r="L6" s="3">
        <v>1</v>
      </c>
      <c r="M6" s="3">
        <v>46224</v>
      </c>
      <c r="N6" s="3" t="s">
        <v>647</v>
      </c>
      <c r="O6" s="3" t="s">
        <v>258</v>
      </c>
    </row>
    <row r="7" spans="1:26" ht="28.5">
      <c r="A7" s="3" t="s">
        <v>358</v>
      </c>
      <c r="B7" s="3" t="s">
        <v>359</v>
      </c>
      <c r="C7" s="3" t="s">
        <v>273</v>
      </c>
      <c r="D7" s="3" t="s">
        <v>603</v>
      </c>
      <c r="E7" s="3" t="s">
        <v>162</v>
      </c>
      <c r="F7" s="3" t="s">
        <v>164</v>
      </c>
      <c r="G7" s="3">
        <v>0</v>
      </c>
      <c r="H7" s="3">
        <v>0</v>
      </c>
      <c r="I7" s="3">
        <v>0</v>
      </c>
      <c r="J7" s="3">
        <v>0</v>
      </c>
      <c r="K7" s="3"/>
      <c r="L7" s="3">
        <v>0</v>
      </c>
      <c r="M7" s="3"/>
      <c r="N7" s="3" t="s">
        <v>648</v>
      </c>
      <c r="O7" s="3" t="s">
        <v>258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selection sqref="A1:J1"/>
    </sheetView>
  </sheetViews>
  <sheetFormatPr defaultRowHeight="14.25"/>
  <cols>
    <col min="1" max="1" width="9.25" customWidth="1"/>
    <col min="2" max="2" width="15.5" customWidth="1"/>
    <col min="3" max="3" width="12.25" customWidth="1"/>
    <col min="4" max="4" width="15.75" customWidth="1"/>
    <col min="5" max="5" width="12.5" customWidth="1"/>
    <col min="6" max="6" width="8" customWidth="1"/>
    <col min="7" max="7" width="7.875" customWidth="1"/>
    <col min="8" max="8" width="13.125" customWidth="1"/>
    <col min="9" max="9" width="6.875" customWidth="1"/>
    <col min="10" max="10" width="27.5" customWidth="1"/>
    <col min="11" max="11" width="10.75" customWidth="1"/>
    <col min="12" max="12" width="10.625" customWidth="1"/>
    <col min="13" max="13" width="11.125" customWidth="1"/>
    <col min="14" max="14" width="7" customWidth="1"/>
    <col min="15" max="15" width="10.25" customWidth="1"/>
    <col min="16" max="16" width="10.625" customWidth="1"/>
    <col min="17" max="17" width="9.625" customWidth="1"/>
    <col min="18" max="18" width="6" customWidth="1"/>
  </cols>
  <sheetData>
    <row r="1" spans="1:26" ht="27.95" customHeight="1">
      <c r="A1" s="20" t="s">
        <v>649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650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8" t="s">
        <v>651</v>
      </c>
      <c r="B4" s="8" t="s">
        <v>652</v>
      </c>
      <c r="C4" s="8" t="s">
        <v>653</v>
      </c>
      <c r="D4" s="8" t="s">
        <v>654</v>
      </c>
      <c r="E4" s="8" t="s">
        <v>655</v>
      </c>
      <c r="F4" s="8" t="s">
        <v>388</v>
      </c>
      <c r="G4" s="8" t="s">
        <v>325</v>
      </c>
      <c r="H4" s="8" t="s">
        <v>156</v>
      </c>
      <c r="I4" s="8" t="s">
        <v>157</v>
      </c>
      <c r="J4" s="8" t="s">
        <v>656</v>
      </c>
      <c r="K4" s="8" t="s">
        <v>657</v>
      </c>
      <c r="L4" s="8" t="s">
        <v>228</v>
      </c>
      <c r="M4" s="8" t="s">
        <v>658</v>
      </c>
      <c r="N4" s="8" t="s">
        <v>659</v>
      </c>
      <c r="O4" s="8" t="s">
        <v>660</v>
      </c>
      <c r="P4" s="8" t="s">
        <v>661</v>
      </c>
      <c r="Q4" s="8" t="s">
        <v>662</v>
      </c>
      <c r="R4" s="8" t="s">
        <v>84</v>
      </c>
    </row>
    <row r="5" spans="1:26" ht="28.5">
      <c r="A5" s="3" t="s">
        <v>663</v>
      </c>
      <c r="B5" s="3" t="s">
        <v>259</v>
      </c>
      <c r="C5" s="3" t="s">
        <v>260</v>
      </c>
      <c r="D5" s="3" t="s">
        <v>269</v>
      </c>
      <c r="E5" s="3" t="s">
        <v>270</v>
      </c>
      <c r="F5" s="3" t="s">
        <v>405</v>
      </c>
      <c r="G5" s="3" t="s">
        <v>343</v>
      </c>
      <c r="H5" s="3" t="s">
        <v>165</v>
      </c>
      <c r="I5" s="3" t="s">
        <v>175</v>
      </c>
      <c r="J5" s="3" t="s">
        <v>664</v>
      </c>
      <c r="K5" s="3"/>
      <c r="L5" s="3" t="s">
        <v>187</v>
      </c>
      <c r="M5" s="3" t="s">
        <v>31</v>
      </c>
      <c r="N5" s="3"/>
      <c r="O5" s="3"/>
      <c r="P5" s="3">
        <v>46195</v>
      </c>
      <c r="Q5" s="3"/>
      <c r="R5" s="3" t="s">
        <v>258</v>
      </c>
    </row>
    <row r="6" spans="1:26" ht="28.5">
      <c r="A6" s="3" t="s">
        <v>665</v>
      </c>
      <c r="B6" s="3" t="s">
        <v>281</v>
      </c>
      <c r="C6" s="3" t="s">
        <v>282</v>
      </c>
      <c r="D6" s="3"/>
      <c r="E6" s="3"/>
      <c r="F6" s="3" t="s">
        <v>411</v>
      </c>
      <c r="G6" s="3" t="s">
        <v>368</v>
      </c>
      <c r="H6" s="3" t="s">
        <v>199</v>
      </c>
      <c r="I6" s="3" t="s">
        <v>166</v>
      </c>
      <c r="J6" s="3" t="s">
        <v>666</v>
      </c>
      <c r="K6" s="3"/>
      <c r="L6" s="3" t="s">
        <v>161</v>
      </c>
      <c r="M6" s="3" t="s">
        <v>38</v>
      </c>
      <c r="N6" s="3"/>
      <c r="O6" s="3"/>
      <c r="P6" s="3">
        <v>46195</v>
      </c>
      <c r="Q6" s="3"/>
      <c r="R6" s="3" t="s">
        <v>258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sqref="A1:J1"/>
    </sheetView>
  </sheetViews>
  <sheetFormatPr defaultRowHeight="14.25"/>
  <cols>
    <col min="1" max="1" width="4.5" customWidth="1"/>
    <col min="2" max="2" width="15.5" customWidth="1"/>
    <col min="3" max="3" width="31.25" customWidth="1"/>
    <col min="4" max="4" width="33.625" customWidth="1"/>
    <col min="5" max="5" width="31.625" customWidth="1"/>
    <col min="6" max="6" width="16.25" customWidth="1"/>
  </cols>
  <sheetData>
    <row r="1" spans="1:10" ht="27.95" customHeight="1">
      <c r="A1" s="17" t="s">
        <v>667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668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4" t="s">
        <v>669</v>
      </c>
      <c r="B4" s="4" t="s">
        <v>210</v>
      </c>
      <c r="C4" s="4" t="s">
        <v>670</v>
      </c>
      <c r="D4" s="4" t="s">
        <v>671</v>
      </c>
      <c r="E4" s="4" t="s">
        <v>672</v>
      </c>
      <c r="F4" s="4" t="s">
        <v>402</v>
      </c>
    </row>
    <row r="5" spans="1:10" ht="28.5">
      <c r="A5" s="3">
        <v>0</v>
      </c>
      <c r="B5" s="3" t="s">
        <v>673</v>
      </c>
      <c r="C5" s="3" t="s">
        <v>674</v>
      </c>
      <c r="D5" s="3" t="s">
        <v>675</v>
      </c>
      <c r="E5" s="3" t="s">
        <v>676</v>
      </c>
      <c r="F5" s="3">
        <v>0</v>
      </c>
    </row>
    <row r="6" spans="1:10" ht="28.5">
      <c r="A6" s="3">
        <v>1</v>
      </c>
      <c r="B6" s="3" t="s">
        <v>677</v>
      </c>
      <c r="C6" s="3" t="s">
        <v>678</v>
      </c>
      <c r="D6" s="3" t="s">
        <v>679</v>
      </c>
      <c r="E6" s="3" t="s">
        <v>680</v>
      </c>
      <c r="F6" s="3">
        <v>50</v>
      </c>
    </row>
    <row r="7" spans="1:10" ht="28.5">
      <c r="A7" s="3">
        <v>2</v>
      </c>
      <c r="B7" s="3" t="s">
        <v>170</v>
      </c>
      <c r="C7" s="3" t="s">
        <v>681</v>
      </c>
      <c r="D7" s="3" t="s">
        <v>682</v>
      </c>
      <c r="E7" s="3" t="s">
        <v>683</v>
      </c>
      <c r="F7" s="3">
        <v>60</v>
      </c>
    </row>
    <row r="8" spans="1:10">
      <c r="A8" s="3">
        <v>3</v>
      </c>
      <c r="B8" s="3" t="s">
        <v>684</v>
      </c>
      <c r="C8" s="3" t="s">
        <v>685</v>
      </c>
      <c r="D8" s="3" t="s">
        <v>686</v>
      </c>
      <c r="E8" s="3" t="s">
        <v>687</v>
      </c>
      <c r="F8" s="3">
        <v>70</v>
      </c>
    </row>
    <row r="9" spans="1:10" ht="28.5">
      <c r="A9" s="3">
        <v>4</v>
      </c>
      <c r="B9" s="3" t="s">
        <v>688</v>
      </c>
      <c r="C9" s="3" t="s">
        <v>689</v>
      </c>
      <c r="D9" s="3" t="s">
        <v>690</v>
      </c>
      <c r="E9" s="3" t="s">
        <v>691</v>
      </c>
      <c r="F9" s="3">
        <v>80</v>
      </c>
    </row>
    <row r="10" spans="1:10" ht="28.5">
      <c r="A10" s="3">
        <v>5</v>
      </c>
      <c r="B10" s="3" t="s">
        <v>692</v>
      </c>
      <c r="C10" s="3" t="s">
        <v>693</v>
      </c>
      <c r="D10" s="3" t="s">
        <v>694</v>
      </c>
      <c r="E10" s="3" t="s">
        <v>695</v>
      </c>
      <c r="F10" s="3">
        <v>90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selection sqref="A1:J1"/>
    </sheetView>
  </sheetViews>
  <sheetFormatPr defaultRowHeight="14.25"/>
  <cols>
    <col min="1" max="1" width="18.75" customWidth="1"/>
    <col min="2" max="2" width="8" customWidth="1"/>
    <col min="3" max="3" width="14.5" customWidth="1"/>
    <col min="4" max="4" width="11.625" customWidth="1"/>
    <col min="5" max="5" width="8.5" customWidth="1"/>
    <col min="6" max="6" width="10.25" customWidth="1"/>
    <col min="7" max="7" width="12.875" customWidth="1"/>
    <col min="8" max="8" width="38.875" customWidth="1"/>
    <col min="9" max="9" width="13.375" customWidth="1"/>
    <col min="10" max="10" width="9.625" customWidth="1"/>
    <col min="11" max="11" width="9.5" customWidth="1"/>
    <col min="12" max="12" width="6" customWidth="1"/>
  </cols>
  <sheetData>
    <row r="1" spans="1:26" ht="27.95" customHeight="1">
      <c r="A1" s="20" t="s">
        <v>696</v>
      </c>
      <c r="B1" s="21"/>
      <c r="C1" s="21"/>
      <c r="D1" s="21"/>
      <c r="E1" s="21"/>
      <c r="F1" s="21"/>
      <c r="G1" s="21"/>
      <c r="H1" s="21"/>
      <c r="I1" s="21"/>
      <c r="J1" s="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5.1" customHeight="1">
      <c r="A2" s="19" t="s">
        <v>697</v>
      </c>
      <c r="B2" s="18"/>
      <c r="C2" s="18"/>
      <c r="D2" s="18"/>
      <c r="E2" s="18"/>
      <c r="F2" s="18"/>
      <c r="G2" s="18"/>
      <c r="H2" s="18"/>
      <c r="I2" s="18"/>
      <c r="J2" s="18"/>
    </row>
    <row r="4" spans="1:26" ht="27.95" customHeight="1">
      <c r="A4" s="7" t="s">
        <v>698</v>
      </c>
      <c r="B4" s="7" t="s">
        <v>388</v>
      </c>
      <c r="C4" s="7" t="s">
        <v>400</v>
      </c>
      <c r="D4" s="7" t="s">
        <v>401</v>
      </c>
      <c r="E4" s="7" t="s">
        <v>77</v>
      </c>
      <c r="F4" s="7" t="s">
        <v>327</v>
      </c>
      <c r="G4" s="7" t="s">
        <v>237</v>
      </c>
      <c r="H4" s="7" t="s">
        <v>699</v>
      </c>
      <c r="I4" s="7" t="s">
        <v>228</v>
      </c>
      <c r="J4" s="7" t="s">
        <v>700</v>
      </c>
      <c r="K4" s="7" t="s">
        <v>701</v>
      </c>
      <c r="L4" s="7" t="s">
        <v>84</v>
      </c>
    </row>
    <row r="5" spans="1:26" ht="28.5">
      <c r="A5" s="3" t="s">
        <v>702</v>
      </c>
      <c r="B5" s="3" t="s">
        <v>405</v>
      </c>
      <c r="C5" s="3" t="s">
        <v>242</v>
      </c>
      <c r="D5" s="3" t="s">
        <v>243</v>
      </c>
      <c r="E5" s="3" t="s">
        <v>86</v>
      </c>
      <c r="F5" s="3" t="s">
        <v>247</v>
      </c>
      <c r="G5" s="3">
        <v>77</v>
      </c>
      <c r="H5" s="3" t="s">
        <v>703</v>
      </c>
      <c r="I5" s="3" t="s">
        <v>704</v>
      </c>
      <c r="J5" s="3" t="s">
        <v>31</v>
      </c>
      <c r="K5" s="3">
        <v>46194</v>
      </c>
      <c r="L5" s="3" t="s">
        <v>258</v>
      </c>
    </row>
    <row r="6" spans="1:26" ht="28.5">
      <c r="A6" s="3" t="s">
        <v>705</v>
      </c>
      <c r="B6" s="3" t="s">
        <v>411</v>
      </c>
      <c r="C6" s="3" t="s">
        <v>292</v>
      </c>
      <c r="D6" s="3" t="s">
        <v>293</v>
      </c>
      <c r="E6" s="3" t="s">
        <v>141</v>
      </c>
      <c r="F6" s="3" t="s">
        <v>296</v>
      </c>
      <c r="G6" s="3">
        <v>70</v>
      </c>
      <c r="H6" s="3" t="s">
        <v>706</v>
      </c>
      <c r="I6" s="3" t="s">
        <v>707</v>
      </c>
      <c r="J6" s="3" t="s">
        <v>31</v>
      </c>
      <c r="K6" s="3">
        <v>46194</v>
      </c>
      <c r="L6" s="3" t="s">
        <v>258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sqref="A1:J1"/>
    </sheetView>
  </sheetViews>
  <sheetFormatPr defaultRowHeight="14.25"/>
  <cols>
    <col min="1" max="1" width="8.375" customWidth="1"/>
    <col min="2" max="2" width="18.125" customWidth="1"/>
    <col min="3" max="3" width="25.5" customWidth="1"/>
    <col min="4" max="4" width="24" customWidth="1"/>
    <col min="5" max="5" width="35" customWidth="1"/>
    <col min="6" max="6" width="19" customWidth="1"/>
    <col min="7" max="7" width="25" customWidth="1"/>
    <col min="8" max="8" width="26.25" customWidth="1"/>
    <col min="9" max="9" width="20.375" customWidth="1"/>
    <col min="10" max="10" width="10.625" customWidth="1"/>
  </cols>
  <sheetData>
    <row r="1" spans="1:10" ht="27.95" customHeight="1">
      <c r="A1" s="17" t="s">
        <v>708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709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27.95" customHeight="1">
      <c r="A4" s="1" t="s">
        <v>710</v>
      </c>
      <c r="B4" s="1" t="s">
        <v>711</v>
      </c>
      <c r="C4" s="1" t="s">
        <v>712</v>
      </c>
      <c r="D4" s="1" t="s">
        <v>713</v>
      </c>
      <c r="E4" s="1" t="s">
        <v>714</v>
      </c>
      <c r="F4" s="1" t="s">
        <v>715</v>
      </c>
      <c r="G4" s="1" t="s">
        <v>716</v>
      </c>
      <c r="H4" s="1" t="s">
        <v>717</v>
      </c>
      <c r="I4" s="1" t="s">
        <v>718</v>
      </c>
      <c r="J4" s="1" t="s">
        <v>24</v>
      </c>
    </row>
    <row r="5" spans="1:10" ht="28.5">
      <c r="A5" s="3">
        <v>1</v>
      </c>
      <c r="B5" s="3" t="s">
        <v>719</v>
      </c>
      <c r="C5" s="3" t="s">
        <v>720</v>
      </c>
      <c r="D5" s="3" t="s">
        <v>721</v>
      </c>
      <c r="E5" s="3" t="s">
        <v>722</v>
      </c>
      <c r="F5" s="3" t="s">
        <v>34</v>
      </c>
      <c r="G5" s="3" t="s">
        <v>723</v>
      </c>
      <c r="H5" s="3" t="s">
        <v>724</v>
      </c>
      <c r="I5" s="3" t="s">
        <v>725</v>
      </c>
      <c r="J5" s="3" t="s">
        <v>38</v>
      </c>
    </row>
    <row r="6" spans="1:10" ht="28.5">
      <c r="A6" s="3">
        <v>2</v>
      </c>
      <c r="B6" s="3" t="s">
        <v>726</v>
      </c>
      <c r="C6" s="3" t="s">
        <v>727</v>
      </c>
      <c r="D6" s="3" t="s">
        <v>728</v>
      </c>
      <c r="E6" s="3" t="s">
        <v>729</v>
      </c>
      <c r="F6" s="3" t="s">
        <v>34</v>
      </c>
      <c r="G6" s="3" t="s">
        <v>730</v>
      </c>
      <c r="H6" s="3" t="s">
        <v>731</v>
      </c>
      <c r="I6" s="3" t="s">
        <v>91</v>
      </c>
      <c r="J6" s="3" t="s">
        <v>31</v>
      </c>
    </row>
    <row r="7" spans="1:10" ht="28.5">
      <c r="A7" s="3">
        <v>3</v>
      </c>
      <c r="B7" s="3" t="s">
        <v>732</v>
      </c>
      <c r="C7" s="3" t="s">
        <v>733</v>
      </c>
      <c r="D7" s="3" t="s">
        <v>734</v>
      </c>
      <c r="E7" s="3" t="s">
        <v>735</v>
      </c>
      <c r="F7" s="3" t="s">
        <v>34</v>
      </c>
      <c r="G7" s="3" t="s">
        <v>736</v>
      </c>
      <c r="H7" s="3" t="s">
        <v>737</v>
      </c>
      <c r="I7" s="3" t="s">
        <v>738</v>
      </c>
      <c r="J7" s="3" t="s">
        <v>38</v>
      </c>
    </row>
    <row r="8" spans="1:10" ht="28.5">
      <c r="A8" s="3">
        <v>4</v>
      </c>
      <c r="B8" s="3" t="s">
        <v>739</v>
      </c>
      <c r="C8" s="3" t="s">
        <v>740</v>
      </c>
      <c r="D8" s="3" t="s">
        <v>741</v>
      </c>
      <c r="E8" s="3" t="s">
        <v>742</v>
      </c>
      <c r="F8" s="3" t="s">
        <v>91</v>
      </c>
      <c r="G8" s="3" t="s">
        <v>743</v>
      </c>
      <c r="H8" s="3" t="s">
        <v>744</v>
      </c>
      <c r="I8" s="3" t="s">
        <v>745</v>
      </c>
      <c r="J8" s="3" t="s">
        <v>49</v>
      </c>
    </row>
    <row r="9" spans="1:10" ht="28.5">
      <c r="A9" s="3">
        <v>5</v>
      </c>
      <c r="B9" s="3" t="s">
        <v>746</v>
      </c>
      <c r="C9" s="3" t="s">
        <v>747</v>
      </c>
      <c r="D9" s="3" t="s">
        <v>386</v>
      </c>
      <c r="E9" s="3" t="s">
        <v>748</v>
      </c>
      <c r="F9" s="3" t="s">
        <v>34</v>
      </c>
      <c r="G9" s="3" t="s">
        <v>749</v>
      </c>
      <c r="H9" s="3" t="s">
        <v>750</v>
      </c>
      <c r="I9" s="3" t="s">
        <v>91</v>
      </c>
      <c r="J9" s="3" t="s">
        <v>31</v>
      </c>
    </row>
    <row r="10" spans="1:10" ht="28.5">
      <c r="A10" s="3">
        <v>6</v>
      </c>
      <c r="B10" s="3" t="s">
        <v>751</v>
      </c>
      <c r="C10" s="3" t="s">
        <v>752</v>
      </c>
      <c r="D10" s="3" t="s">
        <v>753</v>
      </c>
      <c r="E10" s="3" t="s">
        <v>754</v>
      </c>
      <c r="F10" s="3" t="s">
        <v>755</v>
      </c>
      <c r="G10" s="3" t="s">
        <v>756</v>
      </c>
      <c r="H10" s="3" t="s">
        <v>757</v>
      </c>
      <c r="I10" s="3" t="s">
        <v>758</v>
      </c>
      <c r="J10" s="3" t="s">
        <v>38</v>
      </c>
    </row>
    <row r="11" spans="1:10" ht="28.5">
      <c r="A11" s="3">
        <v>7</v>
      </c>
      <c r="B11" s="3" t="s">
        <v>759</v>
      </c>
      <c r="C11" s="3" t="s">
        <v>760</v>
      </c>
      <c r="D11" s="3" t="s">
        <v>417</v>
      </c>
      <c r="E11" s="3" t="s">
        <v>761</v>
      </c>
      <c r="F11" s="3" t="s">
        <v>34</v>
      </c>
      <c r="G11" s="3" t="s">
        <v>762</v>
      </c>
      <c r="H11" s="3" t="s">
        <v>763</v>
      </c>
      <c r="I11" s="3" t="s">
        <v>764</v>
      </c>
      <c r="J11" s="3" t="s">
        <v>38</v>
      </c>
    </row>
    <row r="12" spans="1:10" ht="28.5">
      <c r="A12" s="3">
        <v>8</v>
      </c>
      <c r="B12" s="3" t="s">
        <v>765</v>
      </c>
      <c r="C12" s="3" t="s">
        <v>766</v>
      </c>
      <c r="D12" s="3" t="s">
        <v>767</v>
      </c>
      <c r="E12" s="3" t="s">
        <v>768</v>
      </c>
      <c r="F12" s="3" t="s">
        <v>34</v>
      </c>
      <c r="G12" s="3" t="s">
        <v>769</v>
      </c>
      <c r="H12" s="3" t="s">
        <v>770</v>
      </c>
      <c r="I12" s="3" t="s">
        <v>34</v>
      </c>
      <c r="J12" s="3" t="s">
        <v>771</v>
      </c>
    </row>
    <row r="13" spans="1:10" ht="28.5">
      <c r="A13" s="3">
        <v>9</v>
      </c>
      <c r="B13" s="3" t="s">
        <v>772</v>
      </c>
      <c r="C13" s="3" t="s">
        <v>773</v>
      </c>
      <c r="D13" s="3" t="s">
        <v>774</v>
      </c>
      <c r="E13" s="3" t="s">
        <v>775</v>
      </c>
      <c r="F13" s="3" t="s">
        <v>776</v>
      </c>
      <c r="G13" s="3" t="s">
        <v>777</v>
      </c>
      <c r="H13" s="3" t="s">
        <v>778</v>
      </c>
      <c r="I13" s="3" t="s">
        <v>779</v>
      </c>
      <c r="J13" s="3" t="s">
        <v>38</v>
      </c>
    </row>
    <row r="14" spans="1:10" ht="28.5">
      <c r="A14" s="3">
        <v>10</v>
      </c>
      <c r="B14" s="3" t="s">
        <v>780</v>
      </c>
      <c r="C14" s="3" t="s">
        <v>781</v>
      </c>
      <c r="D14" s="3" t="s">
        <v>649</v>
      </c>
      <c r="E14" s="3" t="s">
        <v>782</v>
      </c>
      <c r="F14" s="3" t="s">
        <v>783</v>
      </c>
      <c r="G14" s="3" t="s">
        <v>784</v>
      </c>
      <c r="H14" s="3" t="s">
        <v>785</v>
      </c>
      <c r="I14" s="3" t="s">
        <v>786</v>
      </c>
      <c r="J14" s="3" t="s">
        <v>31</v>
      </c>
    </row>
    <row r="15" spans="1:10" ht="28.5">
      <c r="A15" s="3">
        <v>11</v>
      </c>
      <c r="B15" s="3" t="s">
        <v>787</v>
      </c>
      <c r="C15" s="3" t="s">
        <v>788</v>
      </c>
      <c r="D15" s="3" t="s">
        <v>636</v>
      </c>
      <c r="E15" s="3" t="s">
        <v>789</v>
      </c>
      <c r="F15" s="3" t="s">
        <v>790</v>
      </c>
      <c r="G15" s="3" t="s">
        <v>791</v>
      </c>
      <c r="H15" s="3" t="s">
        <v>792</v>
      </c>
      <c r="I15" s="3" t="s">
        <v>793</v>
      </c>
      <c r="J15" s="3" t="s">
        <v>31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defaultRowHeight="14.25"/>
  <cols>
    <col min="1" max="1" width="4" customWidth="1"/>
    <col min="2" max="2" width="11.625" customWidth="1"/>
    <col min="3" max="3" width="19.5" customWidth="1"/>
    <col min="4" max="4" width="35" customWidth="1"/>
    <col min="5" max="5" width="30" customWidth="1"/>
    <col min="6" max="6" width="25" customWidth="1"/>
  </cols>
  <sheetData>
    <row r="1" spans="1:10" ht="27.95" customHeight="1">
      <c r="A1" s="17" t="s">
        <v>794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5.1" customHeight="1">
      <c r="A2" s="19" t="s">
        <v>795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ht="38.1" customHeight="1">
      <c r="A4" s="9" t="s">
        <v>796</v>
      </c>
      <c r="B4" s="13" t="s">
        <v>797</v>
      </c>
      <c r="C4" s="9" t="s">
        <v>798</v>
      </c>
      <c r="D4" s="13" t="s">
        <v>797</v>
      </c>
      <c r="E4" s="9" t="s">
        <v>799</v>
      </c>
      <c r="F4" s="13" t="s">
        <v>797</v>
      </c>
      <c r="G4" s="9" t="s">
        <v>800</v>
      </c>
      <c r="H4" s="13" t="s">
        <v>797</v>
      </c>
      <c r="I4" s="9" t="s">
        <v>739</v>
      </c>
    </row>
    <row r="5" spans="1:10" ht="38.1" customHeight="1">
      <c r="A5" s="9"/>
      <c r="B5" s="13"/>
      <c r="C5" s="9" t="s">
        <v>801</v>
      </c>
      <c r="D5" s="13"/>
      <c r="E5" s="9" t="s">
        <v>237</v>
      </c>
      <c r="F5" s="13"/>
      <c r="G5" s="9" t="s">
        <v>802</v>
      </c>
      <c r="H5" s="13"/>
      <c r="I5" s="9" t="s">
        <v>746</v>
      </c>
    </row>
    <row r="6" spans="1:10" ht="38.1" customHeight="1">
      <c r="A6" s="10" t="s">
        <v>803</v>
      </c>
      <c r="B6" s="14" t="s">
        <v>797</v>
      </c>
      <c r="C6" s="10" t="s">
        <v>804</v>
      </c>
      <c r="D6" s="14" t="s">
        <v>797</v>
      </c>
      <c r="E6" s="10" t="s">
        <v>805</v>
      </c>
      <c r="F6" s="14" t="s">
        <v>797</v>
      </c>
      <c r="G6" s="10" t="s">
        <v>806</v>
      </c>
      <c r="H6" s="14" t="s">
        <v>797</v>
      </c>
      <c r="I6" s="10" t="s">
        <v>807</v>
      </c>
    </row>
    <row r="7" spans="1:10" ht="38.1" customHeight="1">
      <c r="A7" s="10"/>
      <c r="B7" s="14"/>
      <c r="C7" s="10" t="s">
        <v>808</v>
      </c>
      <c r="D7" s="14"/>
      <c r="E7" s="10" t="s">
        <v>809</v>
      </c>
      <c r="F7" s="14"/>
      <c r="G7" s="10" t="s">
        <v>810</v>
      </c>
      <c r="H7" s="14"/>
      <c r="I7" s="10" t="s">
        <v>811</v>
      </c>
    </row>
    <row r="8" spans="1:10" ht="38.1" customHeight="1">
      <c r="A8" s="11" t="s">
        <v>812</v>
      </c>
      <c r="B8" s="15" t="s">
        <v>797</v>
      </c>
      <c r="C8" s="11" t="s">
        <v>813</v>
      </c>
      <c r="D8" s="15" t="s">
        <v>797</v>
      </c>
      <c r="E8" s="11" t="s">
        <v>417</v>
      </c>
      <c r="F8" s="15" t="s">
        <v>797</v>
      </c>
      <c r="G8" s="11" t="s">
        <v>814</v>
      </c>
      <c r="H8" s="15" t="s">
        <v>797</v>
      </c>
      <c r="I8" s="11" t="s">
        <v>815</v>
      </c>
    </row>
    <row r="9" spans="1:10" ht="38.1" customHeight="1">
      <c r="A9" s="11"/>
      <c r="B9" s="15"/>
      <c r="C9" s="11" t="s">
        <v>816</v>
      </c>
      <c r="D9" s="15"/>
      <c r="E9" s="11" t="s">
        <v>817</v>
      </c>
      <c r="F9" s="15"/>
      <c r="G9" s="11" t="s">
        <v>818</v>
      </c>
      <c r="H9" s="15"/>
      <c r="I9" s="11" t="s">
        <v>619</v>
      </c>
    </row>
    <row r="10" spans="1:10" ht="38.1" customHeight="1">
      <c r="A10" s="12" t="s">
        <v>819</v>
      </c>
      <c r="B10" s="16" t="s">
        <v>797</v>
      </c>
      <c r="C10" s="12" t="s">
        <v>820</v>
      </c>
      <c r="D10" s="16" t="s">
        <v>797</v>
      </c>
      <c r="E10" s="12" t="s">
        <v>821</v>
      </c>
      <c r="F10" s="16" t="s">
        <v>797</v>
      </c>
      <c r="G10" s="12" t="s">
        <v>822</v>
      </c>
      <c r="H10" s="16" t="s">
        <v>797</v>
      </c>
      <c r="I10" s="12" t="s">
        <v>823</v>
      </c>
    </row>
    <row r="13" spans="1:10" ht="27.95" customHeight="1">
      <c r="A13" s="4" t="s">
        <v>824</v>
      </c>
      <c r="B13" s="4" t="s">
        <v>24</v>
      </c>
      <c r="C13" s="4" t="s">
        <v>825</v>
      </c>
      <c r="D13" s="4" t="s">
        <v>546</v>
      </c>
      <c r="E13" s="4" t="s">
        <v>826</v>
      </c>
      <c r="F13" s="4" t="s">
        <v>827</v>
      </c>
    </row>
    <row r="14" spans="1:10" ht="28.5">
      <c r="A14" s="3">
        <v>1</v>
      </c>
      <c r="B14" s="3" t="s">
        <v>627</v>
      </c>
      <c r="C14" s="3" t="s">
        <v>828</v>
      </c>
      <c r="D14" s="3" t="s">
        <v>829</v>
      </c>
      <c r="E14" s="3" t="s">
        <v>830</v>
      </c>
      <c r="F14" s="3" t="s">
        <v>831</v>
      </c>
    </row>
    <row r="15" spans="1:10" ht="28.5">
      <c r="A15" s="3">
        <v>2</v>
      </c>
      <c r="B15" s="3" t="s">
        <v>771</v>
      </c>
      <c r="C15" s="3" t="s">
        <v>207</v>
      </c>
      <c r="D15" s="3" t="s">
        <v>832</v>
      </c>
      <c r="E15" s="3" t="s">
        <v>833</v>
      </c>
      <c r="F15" s="3" t="s">
        <v>834</v>
      </c>
    </row>
    <row r="16" spans="1:10">
      <c r="A16" s="3">
        <v>3</v>
      </c>
      <c r="B16" s="3" t="s">
        <v>627</v>
      </c>
      <c r="C16" s="3" t="s">
        <v>800</v>
      </c>
      <c r="D16" s="3" t="s">
        <v>835</v>
      </c>
      <c r="E16" s="3" t="s">
        <v>836</v>
      </c>
      <c r="F16" s="3" t="s">
        <v>48</v>
      </c>
    </row>
    <row r="17" spans="1:6">
      <c r="A17" s="3">
        <v>4</v>
      </c>
      <c r="B17" s="3" t="s">
        <v>837</v>
      </c>
      <c r="C17" s="3" t="s">
        <v>838</v>
      </c>
      <c r="D17" s="3" t="s">
        <v>839</v>
      </c>
      <c r="E17" s="3" t="s">
        <v>840</v>
      </c>
      <c r="F17" s="3" t="s">
        <v>54</v>
      </c>
    </row>
    <row r="18" spans="1:6">
      <c r="A18" s="3">
        <v>5</v>
      </c>
      <c r="B18" s="3" t="s">
        <v>31</v>
      </c>
      <c r="C18" s="3" t="s">
        <v>386</v>
      </c>
      <c r="D18" s="3" t="s">
        <v>841</v>
      </c>
      <c r="E18" s="3" t="s">
        <v>842</v>
      </c>
      <c r="F18" s="3" t="s">
        <v>59</v>
      </c>
    </row>
    <row r="19" spans="1:6" ht="28.5">
      <c r="A19" s="3">
        <v>6</v>
      </c>
      <c r="B19" s="3" t="s">
        <v>771</v>
      </c>
      <c r="C19" s="3" t="s">
        <v>843</v>
      </c>
      <c r="D19" s="3" t="s">
        <v>844</v>
      </c>
      <c r="E19" s="3" t="s">
        <v>845</v>
      </c>
      <c r="F19" s="3" t="s">
        <v>846</v>
      </c>
    </row>
    <row r="20" spans="1:6" ht="28.5">
      <c r="A20" s="3">
        <v>7</v>
      </c>
      <c r="B20" s="3" t="s">
        <v>847</v>
      </c>
      <c r="C20" s="3" t="s">
        <v>696</v>
      </c>
      <c r="D20" s="3" t="s">
        <v>848</v>
      </c>
      <c r="E20" s="3" t="s">
        <v>849</v>
      </c>
      <c r="F20" s="3" t="s">
        <v>850</v>
      </c>
    </row>
    <row r="21" spans="1:6">
      <c r="A21" s="3">
        <v>8</v>
      </c>
      <c r="B21" s="3" t="s">
        <v>207</v>
      </c>
      <c r="C21" s="3" t="s">
        <v>815</v>
      </c>
      <c r="D21" s="3" t="s">
        <v>851</v>
      </c>
      <c r="E21" s="3" t="s">
        <v>852</v>
      </c>
      <c r="F21" s="3" t="s">
        <v>853</v>
      </c>
    </row>
    <row r="22" spans="1:6">
      <c r="A22" s="3">
        <v>9</v>
      </c>
      <c r="B22" s="3" t="s">
        <v>38</v>
      </c>
      <c r="C22" s="3" t="s">
        <v>854</v>
      </c>
      <c r="D22" s="3" t="s">
        <v>855</v>
      </c>
      <c r="E22" s="3" t="s">
        <v>856</v>
      </c>
      <c r="F22" s="3" t="s">
        <v>857</v>
      </c>
    </row>
    <row r="23" spans="1:6">
      <c r="A23" s="3">
        <v>10</v>
      </c>
      <c r="B23" s="3" t="s">
        <v>31</v>
      </c>
      <c r="C23" s="3" t="s">
        <v>858</v>
      </c>
      <c r="D23" s="3" t="s">
        <v>859</v>
      </c>
      <c r="E23" s="3" t="s">
        <v>860</v>
      </c>
      <c r="F23" s="3" t="s">
        <v>861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MVP Instructions</vt:lpstr>
      <vt:lpstr>Dashboard</vt:lpstr>
      <vt:lpstr>Games Catalog</vt:lpstr>
      <vt:lpstr>Lookup Lists</vt:lpstr>
      <vt:lpstr>Players</vt:lpstr>
      <vt:lpstr>Game Requests</vt:lpstr>
      <vt:lpstr>Venues</vt:lpstr>
      <vt:lpstr>Match Sessions</vt:lpstr>
      <vt:lpstr>Confirmations</vt:lpstr>
      <vt:lpstr>Scores</vt:lpstr>
      <vt:lpstr>Ratings</vt:lpstr>
      <vt:lpstr>Promotions</vt:lpstr>
      <vt:lpstr>Competitions</vt:lpstr>
      <vt:lpstr>Scoring Rules</vt:lpstr>
      <vt:lpstr>Credibility Log</vt:lpstr>
      <vt:lpstr>Player Rankings</vt:lpstr>
      <vt:lpstr>Estimation Calculator</vt:lpstr>
      <vt:lpstr>Leaderboards</vt:lpstr>
      <vt:lpstr>Venue Performance</vt:lpstr>
      <vt:lpstr>Reports &amp; Incidents</vt:lpstr>
      <vt:lpstr>Verification Levels</vt:lpstr>
      <vt:lpstr>Match Captains</vt:lpstr>
      <vt:lpstr>Make Blueprint</vt:lpstr>
      <vt:lpstr>Operations Flow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Ast</cp:lastModifiedBy>
  <dcterms:modified xsi:type="dcterms:W3CDTF">2026-06-26T21:48:34Z</dcterms:modified>
</cp:coreProperties>
</file>